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8B47C90-A492-44DF-BC09-7142767FDF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Sales Data" sheetId="1" r:id="rId1"/>
    <sheet name="Sales by Region " sheetId="6" r:id="rId2"/>
    <sheet name="Sales by Product" sheetId="7" r:id="rId3"/>
    <sheet name="Monthly Sales Trend" sheetId="8" r:id="rId4"/>
    <sheet name="DATASET NOTES" sheetId="2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2" i="1"/>
</calcChain>
</file>

<file path=xl/sharedStrings.xml><?xml version="1.0" encoding="utf-8"?>
<sst xmlns="http://schemas.openxmlformats.org/spreadsheetml/2006/main" count="700" uniqueCount="249">
  <si>
    <t>Order_ID</t>
  </si>
  <si>
    <t>Order_Date</t>
  </si>
  <si>
    <t>Region</t>
  </si>
  <si>
    <t>Product</t>
  </si>
  <si>
    <t>Category</t>
  </si>
  <si>
    <t>Sales_Amount</t>
  </si>
  <si>
    <t>Profit</t>
  </si>
  <si>
    <t>Quantity</t>
  </si>
  <si>
    <t>ORD-3496</t>
  </si>
  <si>
    <t>South</t>
  </si>
  <si>
    <t>Notebook</t>
  </si>
  <si>
    <t>Stationery</t>
  </si>
  <si>
    <t>ORD-3532</t>
  </si>
  <si>
    <t>Sofa</t>
  </si>
  <si>
    <t>Furniture</t>
  </si>
  <si>
    <t>ORD-7951</t>
  </si>
  <si>
    <t>East</t>
  </si>
  <si>
    <t>Planner</t>
  </si>
  <si>
    <t>ORD-8242</t>
  </si>
  <si>
    <t>Saree</t>
  </si>
  <si>
    <t>Clothing</t>
  </si>
  <si>
    <t>ORD-4652</t>
  </si>
  <si>
    <t>ORD-5844</t>
  </si>
  <si>
    <t>ORD-8491</t>
  </si>
  <si>
    <t>North</t>
  </si>
  <si>
    <t>Headphones</t>
  </si>
  <si>
    <t>Electronics</t>
  </si>
  <si>
    <t>ORD-8450</t>
  </si>
  <si>
    <t>Mixer Grinder</t>
  </si>
  <si>
    <t>Appliances</t>
  </si>
  <si>
    <t>ORD-5315</t>
  </si>
  <si>
    <t>ORD-4155</t>
  </si>
  <si>
    <t>Air Purifier</t>
  </si>
  <si>
    <t>ORD-1046</t>
  </si>
  <si>
    <t>Wardrobe</t>
  </si>
  <si>
    <t>ORD-7625</t>
  </si>
  <si>
    <t>ORD-1441</t>
  </si>
  <si>
    <t>ORD-9270</t>
  </si>
  <si>
    <t>West</t>
  </si>
  <si>
    <t>ORD-2424</t>
  </si>
  <si>
    <t>Laptop</t>
  </si>
  <si>
    <t>ORD-1659</t>
  </si>
  <si>
    <t>Iron Box</t>
  </si>
  <si>
    <t>ORD-6862</t>
  </si>
  <si>
    <t>Tablet</t>
  </si>
  <si>
    <t>ORD-8149</t>
  </si>
  <si>
    <t>File Folder</t>
  </si>
  <si>
    <t>ORD-9830</t>
  </si>
  <si>
    <t>ORD-2604</t>
  </si>
  <si>
    <t>Smartphone</t>
  </si>
  <si>
    <t>ORD-2786</t>
  </si>
  <si>
    <t>ORD-7389</t>
  </si>
  <si>
    <t>Pen Set</t>
  </si>
  <si>
    <t>ORD-9807</t>
  </si>
  <si>
    <t>ORD-1841</t>
  </si>
  <si>
    <t>ORD-9327</t>
  </si>
  <si>
    <t>Kurta</t>
  </si>
  <si>
    <t>ORD-1042</t>
  </si>
  <si>
    <t>Fan</t>
  </si>
  <si>
    <t>ORD-3677</t>
  </si>
  <si>
    <t>ORD-5569</t>
  </si>
  <si>
    <t>ORD-7570</t>
  </si>
  <si>
    <t>ORD-2674</t>
  </si>
  <si>
    <t>ORD-2627</t>
  </si>
  <si>
    <t>Electric Kettle</t>
  </si>
  <si>
    <t>ORD-3546</t>
  </si>
  <si>
    <t>ORD-6507</t>
  </si>
  <si>
    <t>ORD-5460</t>
  </si>
  <si>
    <t>ORD-5102</t>
  </si>
  <si>
    <t>ORD-6439</t>
  </si>
  <si>
    <t>Smartwatch</t>
  </si>
  <si>
    <t>ORD-3167</t>
  </si>
  <si>
    <t>ORD-8316</t>
  </si>
  <si>
    <t>Jacket</t>
  </si>
  <si>
    <t>ORD-1434</t>
  </si>
  <si>
    <t>ORD-5505</t>
  </si>
  <si>
    <t>ORD-7866</t>
  </si>
  <si>
    <t>ORD-5930</t>
  </si>
  <si>
    <t>ORD-2200</t>
  </si>
  <si>
    <t>ORD-8478</t>
  </si>
  <si>
    <t>ORD-2612</t>
  </si>
  <si>
    <t>ORD-6753</t>
  </si>
  <si>
    <t>ORD-6279</t>
  </si>
  <si>
    <t>ORD-9479</t>
  </si>
  <si>
    <t>Study Table</t>
  </si>
  <si>
    <t>ORD-4814</t>
  </si>
  <si>
    <t>ORD-9883</t>
  </si>
  <si>
    <t>ORD-7043</t>
  </si>
  <si>
    <t>Bookshelf</t>
  </si>
  <si>
    <t>ORD-7512</t>
  </si>
  <si>
    <t>ORD-7790</t>
  </si>
  <si>
    <t>Marker Set</t>
  </si>
  <si>
    <t>ORD-1359</t>
  </si>
  <si>
    <t>T-Shirt</t>
  </si>
  <si>
    <t>ORD-3414</t>
  </si>
  <si>
    <t>ORD-5002</t>
  </si>
  <si>
    <t>ORD-6374</t>
  </si>
  <si>
    <t>ORD-7149</t>
  </si>
  <si>
    <t>ORD-1058</t>
  </si>
  <si>
    <t>Jeans</t>
  </si>
  <si>
    <t>ORD-9565</t>
  </si>
  <si>
    <t>ORD-3076</t>
  </si>
  <si>
    <t>ORD-8527</t>
  </si>
  <si>
    <t>ORD-5526</t>
  </si>
  <si>
    <t>ORD-2052</t>
  </si>
  <si>
    <t>ORD-6039</t>
  </si>
  <si>
    <t>ORD-9153</t>
  </si>
  <si>
    <t>ORD-6925</t>
  </si>
  <si>
    <t>ORD-4752</t>
  </si>
  <si>
    <t>ORD-9280</t>
  </si>
  <si>
    <t>ORD-9138</t>
  </si>
  <si>
    <t>ORD-6272</t>
  </si>
  <si>
    <t>ORD-9727</t>
  </si>
  <si>
    <t>ORD-1536</t>
  </si>
  <si>
    <t>ORD-2389</t>
  </si>
  <si>
    <t>ORD-1027</t>
  </si>
  <si>
    <t>ORD-8711</t>
  </si>
  <si>
    <t>ORD-8622</t>
  </si>
  <si>
    <t>ORD-7381</t>
  </si>
  <si>
    <t>ORD-6155</t>
  </si>
  <si>
    <t>ORD-4697</t>
  </si>
  <si>
    <t>ORD-7693</t>
  </si>
  <si>
    <t>ORD-6820</t>
  </si>
  <si>
    <t>ORD-3925</t>
  </si>
  <si>
    <t>ORD-5558</t>
  </si>
  <si>
    <t>ORD-6310</t>
  </si>
  <si>
    <t>ORD-3485</t>
  </si>
  <si>
    <t>ORD-2824</t>
  </si>
  <si>
    <t>ORD-7717</t>
  </si>
  <si>
    <t>ORD-1158</t>
  </si>
  <si>
    <t>ORD-8504</t>
  </si>
  <si>
    <t>ORD-1231</t>
  </si>
  <si>
    <t>ORD-6003</t>
  </si>
  <si>
    <t>ORD-4362</t>
  </si>
  <si>
    <t>ORD-7242</t>
  </si>
  <si>
    <t>ORD-7615</t>
  </si>
  <si>
    <t>ORD-9595</t>
  </si>
  <si>
    <t>ORD-3950</t>
  </si>
  <si>
    <t>ORD-5941</t>
  </si>
  <si>
    <t>ORD-3615</t>
  </si>
  <si>
    <t>ORD-9098</t>
  </si>
  <si>
    <t>ORD-7971</t>
  </si>
  <si>
    <t>ORD-2129</t>
  </si>
  <si>
    <t>ORD-3240</t>
  </si>
  <si>
    <t>ORD-3634</t>
  </si>
  <si>
    <t>ORD-2880</t>
  </si>
  <si>
    <t>ORD-6213</t>
  </si>
  <si>
    <t>ORD-6143</t>
  </si>
  <si>
    <t>ORD-8141</t>
  </si>
  <si>
    <t>ORD-2747</t>
  </si>
  <si>
    <t>ORD-2166</t>
  </si>
  <si>
    <t>ORD-2040</t>
  </si>
  <si>
    <t>ORD-7745</t>
  </si>
  <si>
    <t>ORD-5262</t>
  </si>
  <si>
    <t>ORD-9864</t>
  </si>
  <si>
    <t>ORD-3426</t>
  </si>
  <si>
    <t>ORD-6994</t>
  </si>
  <si>
    <t>ORD-6549</t>
  </si>
  <si>
    <t>ORD-7912</t>
  </si>
  <si>
    <t>ORD-2746</t>
  </si>
  <si>
    <t>ORD-2911</t>
  </si>
  <si>
    <t>ORD-4923</t>
  </si>
  <si>
    <t>ORD-1993</t>
  </si>
  <si>
    <t>ORD-9540</t>
  </si>
  <si>
    <t>ORD-3153</t>
  </si>
  <si>
    <t>ORD-8062</t>
  </si>
  <si>
    <t>ORD-6992</t>
  </si>
  <si>
    <t>ORD-8532</t>
  </si>
  <si>
    <t>ORD-4673</t>
  </si>
  <si>
    <t>ORD-9348</t>
  </si>
  <si>
    <t>ORD-2989</t>
  </si>
  <si>
    <t>ORD-9042</t>
  </si>
  <si>
    <t>ORD-1601</t>
  </si>
  <si>
    <t>ORD-5673</t>
  </si>
  <si>
    <t>ORD-4937</t>
  </si>
  <si>
    <t>ORD-2876</t>
  </si>
  <si>
    <t>ORD-3579</t>
  </si>
  <si>
    <t>Office Chair</t>
  </si>
  <si>
    <t>ORD-9032</t>
  </si>
  <si>
    <t>ORD-6502</t>
  </si>
  <si>
    <t>ORD-5479</t>
  </si>
  <si>
    <t>ORD-3159</t>
  </si>
  <si>
    <t>ORD-7932</t>
  </si>
  <si>
    <t>ORD-4770</t>
  </si>
  <si>
    <t>ORD-4258</t>
  </si>
  <si>
    <t>ORD-6314</t>
  </si>
  <si>
    <t>ORD-9666</t>
  </si>
  <si>
    <t>ORD-5335</t>
  </si>
  <si>
    <t>ORD-4681</t>
  </si>
  <si>
    <t>ORD-9817</t>
  </si>
  <si>
    <t>ORD-1514</t>
  </si>
  <si>
    <t>ORD-9431</t>
  </si>
  <si>
    <t>DATASET NOTES</t>
  </si>
  <si>
    <t>Total Rows:</t>
  </si>
  <si>
    <t>155 (including intentional dirty data)</t>
  </si>
  <si>
    <t>Intentional Issues to Clean:</t>
  </si>
  <si>
    <t xml:space="preserve">  • Duplicate rows:</t>
  </si>
  <si>
    <t>5 exact duplicate rows added</t>
  </si>
  <si>
    <t xml:space="preserve">  • Blank values:</t>
  </si>
  <si>
    <t>5 blank cells in Sales_Amount column</t>
  </si>
  <si>
    <t xml:space="preserve">  • Date Format:</t>
  </si>
  <si>
    <t>All dates are DD-MMM-YYYY — format as needed</t>
  </si>
  <si>
    <t>Columns:</t>
  </si>
  <si>
    <t xml:space="preserve">  Order_ID</t>
  </si>
  <si>
    <t>Unique order identifier (some duplicates intentional)</t>
  </si>
  <si>
    <t xml:space="preserve">  Order_Date</t>
  </si>
  <si>
    <t>Date of order (Jan 2024 – Dec 2024)</t>
  </si>
  <si>
    <t xml:space="preserve">  Region</t>
  </si>
  <si>
    <t>North / South / East / West</t>
  </si>
  <si>
    <t xml:space="preserve">  Product</t>
  </si>
  <si>
    <t>Product name</t>
  </si>
  <si>
    <t xml:space="preserve">  Category</t>
  </si>
  <si>
    <t>Electronics / Furniture / Clothing / Stationery / Appliances</t>
  </si>
  <si>
    <t xml:space="preserve">  Sales_Amount</t>
  </si>
  <si>
    <t>Total sales value in ₹ (some blanks intentional)</t>
  </si>
  <si>
    <t xml:space="preserve">  Profit</t>
  </si>
  <si>
    <t>Profit earned on the order in ₹</t>
  </si>
  <si>
    <t xml:space="preserve">  Quantity</t>
  </si>
  <si>
    <t>Number of units sold</t>
  </si>
  <si>
    <t>Next Steps:</t>
  </si>
  <si>
    <t xml:space="preserve">  Step 1:</t>
  </si>
  <si>
    <t>Go to Raw Sales Data sheet</t>
  </si>
  <si>
    <t xml:space="preserve">  Step 2:</t>
  </si>
  <si>
    <t>Remove duplicates → Data tab → Remove Duplicates</t>
  </si>
  <si>
    <t xml:space="preserve">  Step 3:</t>
  </si>
  <si>
    <t>Handle blank Sales_Amount → fill with 0 or average</t>
  </si>
  <si>
    <t xml:space="preserve">  Step 4:</t>
  </si>
  <si>
    <t>Add column I: Total_Sales  =Sales_Amount * Quantity</t>
  </si>
  <si>
    <t xml:space="preserve">  Step 5:</t>
  </si>
  <si>
    <t>Add column J: Profit_Margin% = (Profit/Sales_Amount)*100</t>
  </si>
  <si>
    <t xml:space="preserve">  Step 6:</t>
  </si>
  <si>
    <t>Build Pivot Tables for Region, Product, Monthly Trend</t>
  </si>
  <si>
    <t>Total_sales</t>
  </si>
  <si>
    <t>Profit_ Margin</t>
  </si>
  <si>
    <t>Sum of Sales_Amount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</si>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</sst>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₹#,##0.00"/>
    <numFmt numFmtId="165" formatCode="0.0"/>
    <numFmt numFmtId="166" formatCode="dd\-mm\-yyyy"/>
    <numFmt numFmtId="171" formatCode="[$₹-4009]\ #,##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3"/>
      <color rgb="FF1F4E79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166" fontId="2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left"/>
    </xf>
    <xf numFmtId="165" fontId="2" fillId="3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66" fontId="2" fillId="4" borderId="1" xfId="0" applyNumberFormat="1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left"/>
    </xf>
    <xf numFmtId="165" fontId="2" fillId="4" borderId="1" xfId="0" applyNumberFormat="1" applyFont="1" applyFill="1" applyBorder="1" applyAlignment="1">
      <alignment horizontal="left"/>
    </xf>
    <xf numFmtId="171" fontId="2" fillId="3" borderId="0" xfId="0" applyNumberFormat="1" applyFont="1" applyFill="1" applyAlignment="1">
      <alignment horizontal="left"/>
    </xf>
    <xf numFmtId="171" fontId="2" fillId="4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74.980990046293" createdVersion="8" refreshedVersion="8" minRefreshableVersion="3" recordCount="150" xr:uid="{D145BA0A-76F0-4187-A46A-89C1793D31D9}">
  <cacheSource type="worksheet">
    <worksheetSource ref="A1:J151" sheet="Raw Sales Data"/>
  </cacheSource>
  <cacheFields count="12">
    <cacheField name="Order_ID" numFmtId="0">
      <sharedItems/>
    </cacheField>
    <cacheField name="Order_Date" numFmtId="166">
      <sharedItems containsSemiMixedTypes="0" containsNonDate="0" containsDate="1" containsString="0" minDate="2024-01-01T00:00:00" maxDate="2024-12-31T00:00:00" count="124">
        <d v="2024-05-02T00:00:00"/>
        <d v="2024-05-01T00:00:00"/>
        <d v="2024-12-19T00:00:00"/>
        <d v="2024-01-27T00:00:00"/>
        <d v="2024-01-13T00:00:00"/>
        <d v="2024-10-10T00:00:00"/>
        <d v="2024-06-10T00:00:00"/>
        <d v="2024-02-16T00:00:00"/>
        <d v="2024-09-13T00:00:00"/>
        <d v="2024-05-21T00:00:00"/>
        <d v="2024-12-20T00:00:00"/>
        <d v="2024-07-20T00:00:00"/>
        <d v="2024-08-06T00:00:00"/>
        <d v="2024-10-29T00:00:00"/>
        <d v="2024-03-30T00:00:00"/>
        <d v="2024-04-17T00:00:00"/>
        <d v="2024-11-06T00:00:00"/>
        <d v="2024-05-14T00:00:00"/>
        <d v="2024-01-26T00:00:00"/>
        <d v="2024-08-19T00:00:00"/>
        <d v="2024-08-02T00:00:00"/>
        <d v="2024-03-10T00:00:00"/>
        <d v="2024-05-09T00:00:00"/>
        <d v="2024-05-24T00:00:00"/>
        <d v="2024-08-24T00:00:00"/>
        <d v="2024-08-18T00:00:00"/>
        <d v="2024-01-31T00:00:00"/>
        <d v="2024-02-17T00:00:00"/>
        <d v="2024-12-17T00:00:00"/>
        <d v="2024-05-19T00:00:00"/>
        <d v="2024-12-08T00:00:00"/>
        <d v="2024-01-14T00:00:00"/>
        <d v="2024-02-21T00:00:00"/>
        <d v="2024-10-19T00:00:00"/>
        <d v="2024-10-02T00:00:00"/>
        <d v="2024-10-14T00:00:00"/>
        <d v="2024-11-15T00:00:00"/>
        <d v="2024-10-27T00:00:00"/>
        <d v="2024-07-26T00:00:00"/>
        <d v="2024-03-09T00:00:00"/>
        <d v="2024-11-20T00:00:00"/>
        <d v="2024-11-24T00:00:00"/>
        <d v="2024-08-26T00:00:00"/>
        <d v="2024-02-01T00:00:00"/>
        <d v="2024-03-26T00:00:00"/>
        <d v="2024-11-28T00:00:00"/>
        <d v="2024-11-18T00:00:00"/>
        <d v="2024-12-03T00:00:00"/>
        <d v="2024-07-08T00:00:00"/>
        <d v="2024-11-08T00:00:00"/>
        <d v="2024-07-22T00:00:00"/>
        <d v="2024-06-19T00:00:00"/>
        <d v="2024-08-03T00:00:00"/>
        <d v="2024-10-01T00:00:00"/>
        <d v="2024-10-11T00:00:00"/>
        <d v="2024-07-31T00:00:00"/>
        <d v="2024-10-31T00:00:00"/>
        <d v="2024-10-25T00:00:00"/>
        <d v="2024-10-22T00:00:00"/>
        <d v="2024-01-17T00:00:00"/>
        <d v="2024-09-07T00:00:00"/>
        <d v="2024-05-26T00:00:00"/>
        <d v="2024-04-06T00:00:00"/>
        <d v="2024-03-05T00:00:00"/>
        <d v="2024-05-25T00:00:00"/>
        <d v="2024-09-23T00:00:00"/>
        <d v="2024-04-23T00:00:00"/>
        <d v="2024-05-27T00:00:00"/>
        <d v="2024-10-26T00:00:00"/>
        <d v="2024-04-18T00:00:00"/>
        <d v="2024-09-24T00:00:00"/>
        <d v="2024-10-24T00:00:00"/>
        <d v="2024-03-17T00:00:00"/>
        <d v="2024-12-01T00:00:00"/>
        <d v="2024-02-27T00:00:00"/>
        <d v="2024-11-25T00:00:00"/>
        <d v="2024-12-28T00:00:00"/>
        <d v="2024-10-18T00:00:00"/>
        <d v="2024-02-05T00:00:00"/>
        <d v="2024-11-22T00:00:00"/>
        <d v="2024-03-02T00:00:00"/>
        <d v="2024-11-01T00:00:00"/>
        <d v="2024-03-28T00:00:00"/>
        <d v="2024-12-16T00:00:00"/>
        <d v="2024-12-23T00:00:00"/>
        <d v="2024-06-15T00:00:00"/>
        <d v="2024-10-08T00:00:00"/>
        <d v="2024-09-16T00:00:00"/>
        <d v="2024-11-17T00:00:00"/>
        <d v="2024-06-17T00:00:00"/>
        <d v="2024-10-05T00:00:00"/>
        <d v="2024-08-30T00:00:00"/>
        <d v="2024-12-05T00:00:00"/>
        <d v="2024-11-21T00:00:00"/>
        <d v="2024-07-16T00:00:00"/>
        <d v="2024-07-13T00:00:00"/>
        <d v="2024-01-19T00:00:00"/>
        <d v="2024-08-08T00:00:00"/>
        <d v="2024-09-28T00:00:00"/>
        <d v="2024-02-28T00:00:00"/>
        <d v="2024-04-03T00:00:00"/>
        <d v="2024-08-05T00:00:00"/>
        <d v="2024-03-12T00:00:00"/>
        <d v="2024-01-30T00:00:00"/>
        <d v="2024-07-25T00:00:00"/>
        <d v="2024-09-05T00:00:00"/>
        <d v="2024-06-30T00:00:00"/>
        <d v="2024-09-09T00:00:00"/>
        <d v="2024-01-15T00:00:00"/>
        <d v="2024-02-22T00:00:00"/>
        <d v="2024-08-20T00:00:00"/>
        <d v="2024-08-04T00:00:00"/>
        <d v="2024-12-15T00:00:00"/>
        <d v="2024-12-30T00:00:00"/>
        <d v="2024-06-12T00:00:00"/>
        <d v="2024-01-08T00:00:00"/>
        <d v="2024-10-28T00:00:00"/>
        <d v="2024-03-19T00:00:00"/>
        <d v="2024-01-29T00:00:00"/>
        <d v="2024-01-05T00:00:00"/>
        <d v="2024-12-04T00:00:00"/>
        <d v="2024-09-04T00:00:00"/>
        <d v="2024-06-18T00:00:00"/>
        <d v="2024-01-01T00:00:00"/>
      </sharedItems>
      <fieldGroup par="11"/>
    </cacheField>
    <cacheField name="Region" numFmtId="0">
      <sharedItems count="4">
        <s v="South"/>
        <s v="East"/>
        <s v="North"/>
        <s v="West"/>
      </sharedItems>
    </cacheField>
    <cacheField name="Product" numFmtId="0">
      <sharedItems count="25">
        <s v="Notebook"/>
        <s v="Sofa"/>
        <s v="Planner"/>
        <s v="Saree"/>
        <s v="Headphones"/>
        <s v="Mixer Grinder"/>
        <s v="Air Purifier"/>
        <s v="Wardrobe"/>
        <s v="Laptop"/>
        <s v="Iron Box"/>
        <s v="Tablet"/>
        <s v="File Folder"/>
        <s v="Smartphone"/>
        <s v="Pen Set"/>
        <s v="Kurta"/>
        <s v="Fan"/>
        <s v="Electric Kettle"/>
        <s v="Smartwatch"/>
        <s v="Jacket"/>
        <s v="Study Table"/>
        <s v="Bookshelf"/>
        <s v="Marker Set"/>
        <s v="T-Shirt"/>
        <s v="Jeans"/>
        <s v="Office Chair"/>
      </sharedItems>
    </cacheField>
    <cacheField name="Category" numFmtId="0">
      <sharedItems/>
    </cacheField>
    <cacheField name="Sales_Amount" numFmtId="164">
      <sharedItems containsSemiMixedTypes="0" containsString="0" containsNumber="1" minValue="319.14" maxValue="79735.28"/>
    </cacheField>
    <cacheField name="Profit" numFmtId="164">
      <sharedItems containsSemiMixedTypes="0" containsString="0" containsNumber="1" minValue="107.39" maxValue="15174.79"/>
    </cacheField>
    <cacheField name="Quantity" numFmtId="0">
      <sharedItems containsSemiMixedTypes="0" containsString="0" containsNumber="1" containsInteger="1" minValue="1" maxValue="10"/>
    </cacheField>
    <cacheField name="Total_sales" numFmtId="2">
      <sharedItems containsSemiMixedTypes="0" containsString="0" containsNumber="1" minValue="43620.055200000003" maxValue="1159965803.5328002"/>
    </cacheField>
    <cacheField name="Profit_ Margin" numFmtId="165">
      <sharedItems containsSemiMixedTypes="0" containsString="0" containsNumber="1" minValue="8.4003725946156109" maxValue="48.930530316923125"/>
    </cacheField>
    <cacheField name="Days (Order_Date)" numFmtId="0" databaseField="0">
      <fieldGroup base="1">
        <rangePr groupBy="days" startDate="2024-01-01T00:00:00" endDate="2024-12-31T00:00:00"/>
        <groupItems count="368">
          <s v="&lt;1/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31/2024"/>
        </groupItems>
      </fieldGroup>
    </cacheField>
    <cacheField name="Months (Order_Date)" numFmtId="0" databaseField="0">
      <fieldGroup base="1">
        <rangePr groupBy="months" startDate="2024-01-01T00:00:00" endDate="2024-12-3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ORD-3496"/>
    <x v="0"/>
    <x v="0"/>
    <x v="0"/>
    <s v="Stationery"/>
    <n v="1215.1500000000001"/>
    <n v="309.24"/>
    <n v="5"/>
    <n v="375772.98600000003"/>
    <n v="25.448710035798051"/>
  </r>
  <r>
    <s v="ORD-3532"/>
    <x v="1"/>
    <x v="0"/>
    <x v="1"/>
    <s v="Furniture"/>
    <n v="5867.52"/>
    <n v="1528.4"/>
    <n v="6"/>
    <n v="8967917.5680000018"/>
    <n v="26.048483856893544"/>
  </r>
  <r>
    <s v="ORD-7951"/>
    <x v="2"/>
    <x v="1"/>
    <x v="2"/>
    <s v="Stationery"/>
    <n v="558.59"/>
    <n v="165.44"/>
    <n v="8"/>
    <n v="92413.1296"/>
    <n v="29.617429599527377"/>
  </r>
  <r>
    <s v="ORD-8242"/>
    <x v="3"/>
    <x v="0"/>
    <x v="3"/>
    <s v="Clothing"/>
    <n v="1089.56"/>
    <n v="350.85"/>
    <n v="8"/>
    <n v="382272.12599999999"/>
    <n v="32.201071992363893"/>
  </r>
  <r>
    <s v="ORD-4652"/>
    <x v="4"/>
    <x v="0"/>
    <x v="2"/>
    <s v="Stationery"/>
    <n v="701.49"/>
    <n v="152.47"/>
    <n v="5"/>
    <n v="106956.18030000001"/>
    <n v="21.735163722932615"/>
  </r>
  <r>
    <s v="ORD-5844"/>
    <x v="5"/>
    <x v="0"/>
    <x v="1"/>
    <s v="Furniture"/>
    <n v="28272.53"/>
    <n v="5848.79"/>
    <n v="3"/>
    <n v="165360090.7387"/>
    <n v="20.687182929861599"/>
  </r>
  <r>
    <s v="ORD-8491"/>
    <x v="6"/>
    <x v="2"/>
    <x v="4"/>
    <s v="Electronics"/>
    <n v="55375.35"/>
    <n v="8171.14"/>
    <n v="2"/>
    <n v="452479737.39899999"/>
    <n v="14.75591576396357"/>
  </r>
  <r>
    <s v="ORD-8450"/>
    <x v="7"/>
    <x v="0"/>
    <x v="5"/>
    <s v="Appliances"/>
    <n v="2657.52"/>
    <n v="398.7"/>
    <n v="3"/>
    <n v="1059553.2239999999"/>
    <n v="15.002709292874558"/>
  </r>
  <r>
    <s v="ORD-5315"/>
    <x v="8"/>
    <x v="0"/>
    <x v="5"/>
    <s v="Appliances"/>
    <n v="13316.74"/>
    <n v="1927.82"/>
    <n v="9"/>
    <n v="25672277.706799999"/>
    <n v="14.476666211099715"/>
  </r>
  <r>
    <s v="ORD-4155"/>
    <x v="6"/>
    <x v="2"/>
    <x v="6"/>
    <s v="Appliances"/>
    <n v="4490.03"/>
    <n v="946.46"/>
    <n v="5"/>
    <n v="4249633.7938000001"/>
    <n v="21.079146464500241"/>
  </r>
  <r>
    <s v="ORD-1046"/>
    <x v="9"/>
    <x v="0"/>
    <x v="7"/>
    <s v="Furniture"/>
    <n v="13772.9"/>
    <n v="2426.4299999999998"/>
    <n v="1"/>
    <n v="33418977.746999998"/>
    <n v="17.617422619782324"/>
  </r>
  <r>
    <s v="ORD-7625"/>
    <x v="10"/>
    <x v="0"/>
    <x v="3"/>
    <s v="Clothing"/>
    <n v="2160.59"/>
    <n v="839.1"/>
    <n v="6"/>
    <n v="1812951.0690000001"/>
    <n v="38.836614073007837"/>
  </r>
  <r>
    <s v="ORD-1441"/>
    <x v="11"/>
    <x v="2"/>
    <x v="4"/>
    <s v="Electronics"/>
    <n v="23820.47"/>
    <n v="3225.38"/>
    <n v="1"/>
    <n v="76830067.528600007"/>
    <n v="13.540370949859511"/>
  </r>
  <r>
    <s v="ORD-9270"/>
    <x v="12"/>
    <x v="3"/>
    <x v="1"/>
    <s v="Furniture"/>
    <n v="20752.439999999999"/>
    <n v="5453.05"/>
    <n v="5"/>
    <n v="113164092.942"/>
    <n v="26.276669153121272"/>
  </r>
  <r>
    <s v="ORD-2424"/>
    <x v="13"/>
    <x v="3"/>
    <x v="8"/>
    <s v="Electronics"/>
    <n v="21090.19"/>
    <n v="2276.04"/>
    <n v="10"/>
    <n v="48002116.047599994"/>
    <n v="10.791936914745671"/>
  </r>
  <r>
    <s v="ORD-1659"/>
    <x v="14"/>
    <x v="3"/>
    <x v="9"/>
    <s v="Appliances"/>
    <n v="7443.3278185791169"/>
    <n v="1769.54"/>
    <n v="10"/>
    <n v="13171266.308088491"/>
    <n v="23.773506194139298"/>
  </r>
  <r>
    <s v="ORD-6862"/>
    <x v="15"/>
    <x v="0"/>
    <x v="10"/>
    <s v="Electronics"/>
    <n v="65707.56"/>
    <n v="12227.92"/>
    <n v="7"/>
    <n v="803466787.07519996"/>
    <n v="18.609609000851655"/>
  </r>
  <r>
    <s v="ORD-8149"/>
    <x v="16"/>
    <x v="2"/>
    <x v="11"/>
    <s v="Stationery"/>
    <n v="542.14"/>
    <n v="114.44"/>
    <n v="7"/>
    <n v="62042.501599999996"/>
    <n v="21.108938650533073"/>
  </r>
  <r>
    <s v="ORD-9830"/>
    <x v="17"/>
    <x v="3"/>
    <x v="9"/>
    <s v="Appliances"/>
    <n v="6705.95"/>
    <n v="1673.8"/>
    <n v="3"/>
    <n v="11224419.109999999"/>
    <n v="24.959923649893007"/>
  </r>
  <r>
    <s v="ORD-2604"/>
    <x v="18"/>
    <x v="2"/>
    <x v="12"/>
    <s v="Electronics"/>
    <n v="25810.22"/>
    <n v="3568.96"/>
    <n v="4"/>
    <n v="92115642.771200001"/>
    <n v="13.827700809989221"/>
  </r>
  <r>
    <s v="ORD-2786"/>
    <x v="19"/>
    <x v="0"/>
    <x v="5"/>
    <s v="Appliances"/>
    <n v="11454.16"/>
    <n v="2706.76"/>
    <n v="9"/>
    <n v="31003662.121600002"/>
    <n v="23.631239654413768"/>
  </r>
  <r>
    <s v="ORD-7389"/>
    <x v="20"/>
    <x v="0"/>
    <x v="13"/>
    <s v="Stationery"/>
    <n v="691.28"/>
    <n v="222.18"/>
    <n v="7"/>
    <n v="153588.59039999999"/>
    <n v="32.14037727114917"/>
  </r>
  <r>
    <s v="ORD-9807"/>
    <x v="21"/>
    <x v="3"/>
    <x v="2"/>
    <s v="Stationery"/>
    <n v="1406.88"/>
    <n v="542.75"/>
    <n v="9"/>
    <n v="763584.12000000011"/>
    <n v="38.578272489480263"/>
  </r>
  <r>
    <s v="ORD-1841"/>
    <x v="22"/>
    <x v="3"/>
    <x v="8"/>
    <s v="Electronics"/>
    <n v="41045.980000000003"/>
    <n v="3648.57"/>
    <n v="1"/>
    <n v="149759131.24860001"/>
    <n v="8.8889825507881639"/>
  </r>
  <r>
    <s v="ORD-9327"/>
    <x v="21"/>
    <x v="2"/>
    <x v="14"/>
    <s v="Clothing"/>
    <n v="2029.44"/>
    <n v="907.02"/>
    <n v="5"/>
    <n v="1840742.6688000001"/>
    <n v="44.693117313150424"/>
  </r>
  <r>
    <s v="ORD-1042"/>
    <x v="23"/>
    <x v="1"/>
    <x v="15"/>
    <s v="Appliances"/>
    <n v="14985.73"/>
    <n v="2599.2199999999998"/>
    <n v="3"/>
    <n v="38951209.130599998"/>
    <n v="17.344633861680411"/>
  </r>
  <r>
    <s v="ORD-3677"/>
    <x v="24"/>
    <x v="3"/>
    <x v="3"/>
    <s v="Clothing"/>
    <n v="1488.27"/>
    <n v="492.72"/>
    <n v="1"/>
    <n v="733300.39439999999"/>
    <n v="33.106895926142435"/>
  </r>
  <r>
    <s v="ORD-5569"/>
    <x v="25"/>
    <x v="0"/>
    <x v="11"/>
    <s v="Stationery"/>
    <n v="1298.5999999999999"/>
    <n v="382.76"/>
    <n v="1"/>
    <n v="497052.13599999994"/>
    <n v="29.474819035884803"/>
  </r>
  <r>
    <s v="ORD-7570"/>
    <x v="26"/>
    <x v="0"/>
    <x v="0"/>
    <s v="Stationery"/>
    <n v="1973.56"/>
    <n v="525.55999999999995"/>
    <n v="8"/>
    <n v="1037224.1935999999"/>
    <n v="26.630049251099535"/>
  </r>
  <r>
    <s v="ORD-2674"/>
    <x v="27"/>
    <x v="3"/>
    <x v="10"/>
    <s v="Electronics"/>
    <n v="70087.13"/>
    <n v="10684.58"/>
    <n v="1"/>
    <n v="748851547.45539999"/>
    <n v="15.244710405462456"/>
  </r>
  <r>
    <s v="ORD-2627"/>
    <x v="28"/>
    <x v="1"/>
    <x v="16"/>
    <s v="Appliances"/>
    <n v="2787.15"/>
    <n v="394.05"/>
    <n v="2"/>
    <n v="1098276.4575"/>
    <n v="14.138098057155158"/>
  </r>
  <r>
    <s v="ORD-3546"/>
    <x v="29"/>
    <x v="1"/>
    <x v="6"/>
    <s v="Appliances"/>
    <n v="11328.96"/>
    <n v="1478.88"/>
    <n v="5"/>
    <n v="16754172.364800001"/>
    <n v="13.053978476400307"/>
  </r>
  <r>
    <s v="ORD-6507"/>
    <x v="30"/>
    <x v="3"/>
    <x v="1"/>
    <s v="Furniture"/>
    <n v="37183.96"/>
    <n v="11047.66"/>
    <n v="9"/>
    <n v="410795747.53359997"/>
    <n v="29.71082154778566"/>
  </r>
  <r>
    <s v="ORD-5460"/>
    <x v="8"/>
    <x v="3"/>
    <x v="0"/>
    <s v="Stationery"/>
    <n v="1276.47"/>
    <n v="539.12"/>
    <n v="6"/>
    <n v="688170.50640000007"/>
    <n v="42.235226836510066"/>
  </r>
  <r>
    <s v="ORD-5102"/>
    <x v="31"/>
    <x v="2"/>
    <x v="7"/>
    <s v="Furniture"/>
    <n v="25549.3"/>
    <n v="3911.9"/>
    <n v="5"/>
    <n v="99946306.670000002"/>
    <n v="15.311182693850714"/>
  </r>
  <r>
    <s v="ORD-6439"/>
    <x v="32"/>
    <x v="3"/>
    <x v="17"/>
    <s v="Electronics"/>
    <n v="44014.090321296506"/>
    <n v="6070.91"/>
    <n v="3"/>
    <n v="267205581.07246217"/>
    <n v="13.793105697932715"/>
  </r>
  <r>
    <s v="ORD-3167"/>
    <x v="33"/>
    <x v="3"/>
    <x v="1"/>
    <s v="Furniture"/>
    <n v="33262.39"/>
    <n v="5939.38"/>
    <n v="2"/>
    <n v="197557973.91819999"/>
    <n v="17.856143229635634"/>
  </r>
  <r>
    <s v="ORD-8316"/>
    <x v="34"/>
    <x v="3"/>
    <x v="18"/>
    <s v="Clothing"/>
    <n v="2983.63"/>
    <n v="1151.26"/>
    <n v="8"/>
    <n v="3434933.8738000002"/>
    <n v="38.585883638386797"/>
  </r>
  <r>
    <s v="ORD-1434"/>
    <x v="35"/>
    <x v="0"/>
    <x v="9"/>
    <s v="Appliances"/>
    <n v="4865.7299999999996"/>
    <n v="916.65"/>
    <n v="1"/>
    <n v="4460171.4044999992"/>
    <n v="18.838899815649452"/>
  </r>
  <r>
    <s v="ORD-5505"/>
    <x v="36"/>
    <x v="1"/>
    <x v="11"/>
    <s v="Stationery"/>
    <n v="1155"/>
    <n v="362.01"/>
    <n v="10"/>
    <n v="418121.55"/>
    <n v="31.342857142857145"/>
  </r>
  <r>
    <s v="ORD-7866"/>
    <x v="37"/>
    <x v="0"/>
    <x v="0"/>
    <s v="Stationery"/>
    <n v="1700.65"/>
    <n v="601.88"/>
    <n v="5"/>
    <n v="1023587.2220000001"/>
    <n v="35.391173962896538"/>
  </r>
  <r>
    <s v="ORD-5930"/>
    <x v="38"/>
    <x v="2"/>
    <x v="18"/>
    <s v="Clothing"/>
    <n v="1445.82"/>
    <n v="645.47"/>
    <n v="10"/>
    <n v="933233.43539999996"/>
    <n v="44.643869914650516"/>
  </r>
  <r>
    <s v="ORD-2200"/>
    <x v="34"/>
    <x v="0"/>
    <x v="16"/>
    <s v="Appliances"/>
    <n v="3721.94"/>
    <n v="567.04"/>
    <n v="2"/>
    <n v="2110488.8575999998"/>
    <n v="15.23506558407712"/>
  </r>
  <r>
    <s v="ORD-8478"/>
    <x v="39"/>
    <x v="3"/>
    <x v="15"/>
    <s v="Appliances"/>
    <n v="9740.8799999999992"/>
    <n v="2362.2199999999998"/>
    <n v="8"/>
    <n v="23010101.553599995"/>
    <n v="24.250581056331665"/>
  </r>
  <r>
    <s v="ORD-2612"/>
    <x v="40"/>
    <x v="2"/>
    <x v="13"/>
    <s v="Stationery"/>
    <n v="1449.2"/>
    <n v="617.15"/>
    <n v="1"/>
    <n v="894373.78"/>
    <n v="42.585564449351367"/>
  </r>
  <r>
    <s v="ORD-6753"/>
    <x v="41"/>
    <x v="3"/>
    <x v="16"/>
    <s v="Appliances"/>
    <n v="14210.08"/>
    <n v="1666.86"/>
    <n v="5"/>
    <n v="23686213.948799998"/>
    <n v="11.730123968337967"/>
  </r>
  <r>
    <s v="ORD-6279"/>
    <x v="42"/>
    <x v="3"/>
    <x v="13"/>
    <s v="Stationery"/>
    <n v="1120.1099999999999"/>
    <n v="446.29"/>
    <n v="3"/>
    <n v="499893.89189999999"/>
    <n v="39.843408236691047"/>
  </r>
  <r>
    <s v="ORD-9479"/>
    <x v="19"/>
    <x v="2"/>
    <x v="19"/>
    <s v="Furniture"/>
    <n v="7240.91"/>
    <n v="1108.98"/>
    <n v="9"/>
    <n v="8030024.3717999998"/>
    <n v="15.315478303141456"/>
  </r>
  <r>
    <s v="ORD-4814"/>
    <x v="32"/>
    <x v="3"/>
    <x v="14"/>
    <s v="Clothing"/>
    <n v="3360.58"/>
    <n v="1146.6600000000001"/>
    <n v="6"/>
    <n v="3853442.6628"/>
    <n v="34.120895797749199"/>
  </r>
  <r>
    <s v="ORD-9883"/>
    <x v="43"/>
    <x v="1"/>
    <x v="8"/>
    <s v="Electronics"/>
    <n v="52971.54"/>
    <n v="7434.13"/>
    <n v="9"/>
    <n v="393797314.6602"/>
    <n v="14.03419647606998"/>
  </r>
  <r>
    <s v="ORD-7043"/>
    <x v="44"/>
    <x v="2"/>
    <x v="20"/>
    <s v="Furniture"/>
    <n v="8783.4599999999991"/>
    <n v="1351.35"/>
    <n v="5"/>
    <n v="11869528.670999998"/>
    <n v="15.385167120929566"/>
  </r>
  <r>
    <s v="ORD-7512"/>
    <x v="45"/>
    <x v="2"/>
    <x v="3"/>
    <s v="Clothing"/>
    <n v="2210.04"/>
    <n v="727.47"/>
    <n v="8"/>
    <n v="1607737.7988"/>
    <n v="32.916598794591955"/>
  </r>
  <r>
    <s v="ORD-7790"/>
    <x v="46"/>
    <x v="0"/>
    <x v="21"/>
    <s v="Stationery"/>
    <n v="919.38"/>
    <n v="217.79"/>
    <n v="1"/>
    <n v="200231.7702"/>
    <n v="23.688790271704843"/>
  </r>
  <r>
    <s v="ORD-1359"/>
    <x v="47"/>
    <x v="3"/>
    <x v="22"/>
    <s v="Clothing"/>
    <n v="3046.68"/>
    <n v="1284.02"/>
    <n v="1"/>
    <n v="3911998.0535999998"/>
    <n v="42.144892144892147"/>
  </r>
  <r>
    <s v="ORD-3414"/>
    <x v="4"/>
    <x v="2"/>
    <x v="1"/>
    <s v="Furniture"/>
    <n v="26394.59"/>
    <n v="7001.78"/>
    <n v="8"/>
    <n v="184809112.37020001"/>
    <n v="26.527330032404368"/>
  </r>
  <r>
    <s v="ORD-5002"/>
    <x v="48"/>
    <x v="1"/>
    <x v="1"/>
    <s v="Furniture"/>
    <n v="34181.07"/>
    <n v="8734.32"/>
    <n v="10"/>
    <n v="298548403.32239997"/>
    <n v="25.553091228565989"/>
  </r>
  <r>
    <s v="ORD-6374"/>
    <x v="49"/>
    <x v="0"/>
    <x v="4"/>
    <s v="Electronics"/>
    <n v="74110.2"/>
    <n v="8616.26"/>
    <n v="7"/>
    <n v="638552751.852"/>
    <n v="11.626280862823201"/>
  </r>
  <r>
    <s v="ORD-7149"/>
    <x v="50"/>
    <x v="0"/>
    <x v="17"/>
    <s v="Electronics"/>
    <n v="59889.94"/>
    <n v="9299.06"/>
    <n v="2"/>
    <n v="556920145.45640004"/>
    <n v="15.526914870844752"/>
  </r>
  <r>
    <s v="ORD-1058"/>
    <x v="51"/>
    <x v="0"/>
    <x v="23"/>
    <s v="Clothing"/>
    <n v="3835.54"/>
    <n v="1487.88"/>
    <n v="7"/>
    <n v="5706823.2552000005"/>
    <n v="38.791930210609202"/>
  </r>
  <r>
    <s v="ORD-9565"/>
    <x v="6"/>
    <x v="1"/>
    <x v="20"/>
    <s v="Furniture"/>
    <n v="13354.01"/>
    <n v="2795.9"/>
    <n v="5"/>
    <n v="37336476.559"/>
    <n v="20.936782284871736"/>
  </r>
  <r>
    <s v="ORD-3076"/>
    <x v="52"/>
    <x v="2"/>
    <x v="4"/>
    <s v="Electronics"/>
    <n v="44137.89"/>
    <n v="5448.59"/>
    <n v="10"/>
    <n v="240489266.0751"/>
    <n v="12.344473195252425"/>
  </r>
  <r>
    <s v="ORD-8527"/>
    <x v="53"/>
    <x v="2"/>
    <x v="0"/>
    <s v="Stationery"/>
    <n v="1193.67"/>
    <n v="486.24"/>
    <n v="10"/>
    <n v="580410.10080000001"/>
    <n v="40.734876473397172"/>
  </r>
  <r>
    <s v="ORD-5526"/>
    <x v="54"/>
    <x v="2"/>
    <x v="6"/>
    <s v="Appliances"/>
    <n v="3112.97"/>
    <n v="647.53"/>
    <n v="8"/>
    <n v="2015741.4640999998"/>
    <n v="20.80103566690331"/>
  </r>
  <r>
    <s v="ORD-2052"/>
    <x v="55"/>
    <x v="3"/>
    <x v="3"/>
    <s v="Clothing"/>
    <n v="2596.66"/>
    <n v="689.59"/>
    <n v="7"/>
    <n v="1790630.7693999999"/>
    <n v="26.556807591290355"/>
  </r>
  <r>
    <s v="ORD-6039"/>
    <x v="56"/>
    <x v="1"/>
    <x v="0"/>
    <s v="Stationery"/>
    <n v="1043.6600000000001"/>
    <n v="288.07"/>
    <n v="7"/>
    <n v="300647.13620000001"/>
    <n v="27.601901002242109"/>
  </r>
  <r>
    <s v="ORD-9153"/>
    <x v="57"/>
    <x v="0"/>
    <x v="1"/>
    <s v="Furniture"/>
    <n v="27326.66"/>
    <n v="5982.78"/>
    <n v="1"/>
    <n v="163489394.91479999"/>
    <n v="21.893564745929435"/>
  </r>
  <r>
    <s v="ORD-6925"/>
    <x v="58"/>
    <x v="0"/>
    <x v="8"/>
    <s v="Electronics"/>
    <n v="57982.12"/>
    <n v="10017.469999999999"/>
    <n v="2"/>
    <n v="580834147.63639998"/>
    <n v="17.276826028437732"/>
  </r>
  <r>
    <s v="ORD-4752"/>
    <x v="59"/>
    <x v="1"/>
    <x v="2"/>
    <s v="Stationery"/>
    <n v="319.14"/>
    <n v="136.68"/>
    <n v="10"/>
    <n v="43620.055200000003"/>
    <n v="42.827599172776843"/>
  </r>
  <r>
    <s v="ORD-9280"/>
    <x v="60"/>
    <x v="1"/>
    <x v="8"/>
    <s v="Electronics"/>
    <n v="56228.49"/>
    <n v="10094.24"/>
    <n v="1"/>
    <n v="567583872.89759994"/>
    <n v="17.95218046936704"/>
  </r>
  <r>
    <s v="ORD-9138"/>
    <x v="61"/>
    <x v="0"/>
    <x v="16"/>
    <s v="Appliances"/>
    <n v="4847.0600000000004"/>
    <n v="622.94000000000005"/>
    <n v="5"/>
    <n v="3019427.5564000006"/>
    <n v="12.851914356331468"/>
  </r>
  <r>
    <s v="ORD-6272"/>
    <x v="62"/>
    <x v="0"/>
    <x v="9"/>
    <s v="Appliances"/>
    <n v="5036.3100000000004"/>
    <n v="1089.51"/>
    <n v="1"/>
    <n v="5487110.1081000008"/>
    <n v="21.633100424715714"/>
  </r>
  <r>
    <s v="ORD-9727"/>
    <x v="63"/>
    <x v="0"/>
    <x v="11"/>
    <s v="Stationery"/>
    <n v="497.23"/>
    <n v="165.04"/>
    <n v="10"/>
    <n v="82062.839200000002"/>
    <n v="33.191883031997257"/>
  </r>
  <r>
    <s v="ORD-1536"/>
    <x v="2"/>
    <x v="1"/>
    <x v="1"/>
    <s v="Furniture"/>
    <n v="20564.36"/>
    <n v="3812.98"/>
    <n v="6"/>
    <n v="78411493.392800003"/>
    <n v="18.541690575344916"/>
  </r>
  <r>
    <s v="ORD-2389"/>
    <x v="64"/>
    <x v="1"/>
    <x v="12"/>
    <s v="Electronics"/>
    <n v="42569.397344319652"/>
    <n v="6281.76"/>
    <n v="4"/>
    <n v="267410737.46165341"/>
    <n v="14.756516163925026"/>
  </r>
  <r>
    <s v="ORD-1027"/>
    <x v="65"/>
    <x v="0"/>
    <x v="14"/>
    <s v="Clothing"/>
    <n v="814.88"/>
    <n v="339.04"/>
    <n v="6"/>
    <n v="276276.91519999999"/>
    <n v="41.606126055370119"/>
  </r>
  <r>
    <s v="ORD-8711"/>
    <x v="66"/>
    <x v="0"/>
    <x v="2"/>
    <s v="Stationery"/>
    <n v="749.34"/>
    <n v="298.86"/>
    <n v="4"/>
    <n v="223947.75240000003"/>
    <n v="39.883097125470414"/>
  </r>
  <r>
    <s v="ORD-8622"/>
    <x v="67"/>
    <x v="0"/>
    <x v="4"/>
    <s v="Electronics"/>
    <n v="76440.320000000007"/>
    <n v="15174.79"/>
    <n v="5"/>
    <n v="1159965803.5328002"/>
    <n v="19.851813807163548"/>
  </r>
  <r>
    <s v="ORD-7381"/>
    <x v="68"/>
    <x v="2"/>
    <x v="9"/>
    <s v="Appliances"/>
    <n v="8200.74"/>
    <n v="1979.75"/>
    <n v="5"/>
    <n v="16235415.014999999"/>
    <n v="24.14111409458171"/>
  </r>
  <r>
    <s v="ORD-6155"/>
    <x v="69"/>
    <x v="3"/>
    <x v="21"/>
    <s v="Stationery"/>
    <n v="457.17"/>
    <n v="107.39"/>
    <n v="9"/>
    <n v="49095.486300000004"/>
    <n v="23.490167771288579"/>
  </r>
  <r>
    <s v="ORD-4697"/>
    <x v="70"/>
    <x v="3"/>
    <x v="21"/>
    <s v="Stationery"/>
    <n v="735.24"/>
    <n v="255.22"/>
    <n v="7"/>
    <n v="187647.9528"/>
    <n v="34.71247483814809"/>
  </r>
  <r>
    <s v="ORD-7693"/>
    <x v="25"/>
    <x v="3"/>
    <x v="22"/>
    <s v="Clothing"/>
    <n v="1541.64"/>
    <n v="657.88"/>
    <n v="8"/>
    <n v="1014214.1232"/>
    <n v="42.674035442775221"/>
  </r>
  <r>
    <s v="ORD-6820"/>
    <x v="15"/>
    <x v="1"/>
    <x v="17"/>
    <s v="Electronics"/>
    <n v="56273.59"/>
    <n v="8108.84"/>
    <n v="4"/>
    <n v="456313537.53560001"/>
    <n v="14.409672459141138"/>
  </r>
  <r>
    <s v="ORD-3925"/>
    <x v="71"/>
    <x v="1"/>
    <x v="8"/>
    <s v="Electronics"/>
    <n v="53777.13"/>
    <n v="6532.98"/>
    <n v="6"/>
    <n v="351324914.74739999"/>
    <n v="12.148249636973933"/>
  </r>
  <r>
    <s v="ORD-5558"/>
    <x v="52"/>
    <x v="1"/>
    <x v="4"/>
    <s v="Electronics"/>
    <n v="16259.91"/>
    <n v="2353.3000000000002"/>
    <n v="6"/>
    <n v="38264446.203000002"/>
    <n v="14.473019838363191"/>
  </r>
  <r>
    <s v="ORD-6310"/>
    <x v="60"/>
    <x v="2"/>
    <x v="10"/>
    <s v="Electronics"/>
    <n v="72116.92"/>
    <n v="12966.61"/>
    <n v="5"/>
    <n v="935111976.04120004"/>
    <n v="17.979983060840649"/>
  </r>
  <r>
    <s v="ORD-3485"/>
    <x v="72"/>
    <x v="1"/>
    <x v="12"/>
    <s v="Electronics"/>
    <n v="22699.35"/>
    <n v="3898.23"/>
    <n v="10"/>
    <n v="88487287.1505"/>
    <n v="17.173311130054387"/>
  </r>
  <r>
    <s v="ORD-2824"/>
    <x v="4"/>
    <x v="1"/>
    <x v="19"/>
    <s v="Furniture"/>
    <n v="9883.83"/>
    <n v="1634.53"/>
    <n v="9"/>
    <n v="16155416.649900001"/>
    <n v="16.537415151818678"/>
  </r>
  <r>
    <s v="ORD-7717"/>
    <x v="73"/>
    <x v="0"/>
    <x v="4"/>
    <s v="Electronics"/>
    <n v="65799.14"/>
    <n v="7356.52"/>
    <n v="10"/>
    <n v="484052689.39280003"/>
    <n v="11.180267705626548"/>
  </r>
  <r>
    <s v="ORD-1158"/>
    <x v="74"/>
    <x v="2"/>
    <x v="7"/>
    <s v="Furniture"/>
    <n v="6260.98"/>
    <n v="1285.9000000000001"/>
    <n v="9"/>
    <n v="8050994.182"/>
    <n v="20.538318282441409"/>
  </r>
  <r>
    <s v="ORD-8504"/>
    <x v="75"/>
    <x v="2"/>
    <x v="4"/>
    <s v="Electronics"/>
    <n v="70074.41"/>
    <n v="9190.4599999999991"/>
    <n v="2"/>
    <n v="644016062.1286"/>
    <n v="13.115287021324901"/>
  </r>
  <r>
    <s v="ORD-1231"/>
    <x v="76"/>
    <x v="0"/>
    <x v="22"/>
    <s v="Clothing"/>
    <n v="4884.33"/>
    <n v="1896.78"/>
    <n v="3"/>
    <n v="9264499.4573999997"/>
    <n v="38.833985418675645"/>
  </r>
  <r>
    <s v="ORD-6003"/>
    <x v="77"/>
    <x v="2"/>
    <x v="5"/>
    <s v="Appliances"/>
    <n v="14318.67"/>
    <n v="1878.15"/>
    <n v="4"/>
    <n v="26892610.0605"/>
    <n v="13.116790875130164"/>
  </r>
  <r>
    <s v="ORD-4362"/>
    <x v="78"/>
    <x v="0"/>
    <x v="6"/>
    <s v="Appliances"/>
    <n v="12569.69"/>
    <n v="1696.28"/>
    <n v="3"/>
    <n v="21321713.753200002"/>
    <n v="13.495002661163479"/>
  </r>
  <r>
    <s v="ORD-7242"/>
    <x v="79"/>
    <x v="1"/>
    <x v="12"/>
    <s v="Electronics"/>
    <n v="45646"/>
    <n v="7045.26"/>
    <n v="9"/>
    <n v="321587937.96000004"/>
    <n v="15.434561626429479"/>
  </r>
  <r>
    <s v="ORD-7615"/>
    <x v="80"/>
    <x v="0"/>
    <x v="15"/>
    <s v="Appliances"/>
    <n v="2516.64"/>
    <n v="282.61"/>
    <n v="10"/>
    <n v="711227.63040000002"/>
    <n v="11.229655413567297"/>
  </r>
  <r>
    <s v="ORD-9595"/>
    <x v="81"/>
    <x v="1"/>
    <x v="12"/>
    <s v="Electronics"/>
    <n v="34256.019999999997"/>
    <n v="4223.96"/>
    <n v="5"/>
    <n v="144696058.2392"/>
    <n v="12.330562628116169"/>
  </r>
  <r>
    <s v="ORD-3950"/>
    <x v="82"/>
    <x v="0"/>
    <x v="17"/>
    <s v="Electronics"/>
    <n v="71604.570000000007"/>
    <n v="11053.26"/>
    <n v="4"/>
    <n v="791463929.39820004"/>
    <n v="15.436528702008822"/>
  </r>
  <r>
    <s v="ORD-5941"/>
    <x v="83"/>
    <x v="2"/>
    <x v="5"/>
    <s v="Appliances"/>
    <n v="6513.65"/>
    <n v="1069.9100000000001"/>
    <n v="6"/>
    <n v="6969019.2714999998"/>
    <n v="16.425659960237347"/>
  </r>
  <r>
    <s v="ORD-3615"/>
    <x v="84"/>
    <x v="3"/>
    <x v="18"/>
    <s v="Clothing"/>
    <n v="1199.6600000000001"/>
    <n v="587"/>
    <n v="6"/>
    <n v="704200.42"/>
    <n v="48.930530316923125"/>
  </r>
  <r>
    <s v="ORD-9098"/>
    <x v="85"/>
    <x v="0"/>
    <x v="13"/>
    <s v="Stationery"/>
    <n v="838.68"/>
    <n v="221.9"/>
    <n v="5"/>
    <n v="186103.092"/>
    <n v="26.4582439070921"/>
  </r>
  <r>
    <s v="ORD-7971"/>
    <x v="86"/>
    <x v="1"/>
    <x v="14"/>
    <s v="Clothing"/>
    <n v="1486.8994180892259"/>
    <n v="537.83000000000004"/>
    <n v="2"/>
    <n v="799699.11403092847"/>
    <n v="36.171242886835664"/>
  </r>
  <r>
    <s v="ORD-2129"/>
    <x v="87"/>
    <x v="1"/>
    <x v="4"/>
    <s v="Electronics"/>
    <n v="68451.509999999995"/>
    <n v="6343.04"/>
    <n v="6"/>
    <n v="434190665.99039996"/>
    <n v="9.2664719887114266"/>
  </r>
  <r>
    <s v="ORD-3240"/>
    <x v="88"/>
    <x v="2"/>
    <x v="10"/>
    <s v="Electronics"/>
    <n v="66259.679999999993"/>
    <n v="5566.06"/>
    <n v="6"/>
    <n v="368805354.46079999"/>
    <n v="8.4003725946156109"/>
  </r>
  <r>
    <s v="ORD-3634"/>
    <x v="89"/>
    <x v="3"/>
    <x v="2"/>
    <s v="Stationery"/>
    <n v="1392.65"/>
    <n v="417.95"/>
    <n v="9"/>
    <n v="582058.0675"/>
    <n v="30.011129860338205"/>
  </r>
  <r>
    <s v="ORD-2880"/>
    <x v="90"/>
    <x v="0"/>
    <x v="20"/>
    <s v="Furniture"/>
    <n v="33932.089999999997"/>
    <n v="5453.28"/>
    <n v="3"/>
    <n v="185041187.75519997"/>
    <n v="16.071158599426088"/>
  </r>
  <r>
    <s v="ORD-6213"/>
    <x v="91"/>
    <x v="3"/>
    <x v="13"/>
    <s v="Stationery"/>
    <n v="1091.5899999999999"/>
    <n v="228.42"/>
    <n v="9"/>
    <n v="249340.98779999997"/>
    <n v="20.925439038466827"/>
  </r>
  <r>
    <s v="ORD-6143"/>
    <x v="92"/>
    <x v="2"/>
    <x v="3"/>
    <s v="Clothing"/>
    <n v="1891.78"/>
    <n v="666.09"/>
    <n v="7"/>
    <n v="1260095.7402000001"/>
    <n v="35.209696687775541"/>
  </r>
  <r>
    <s v="ORD-8141"/>
    <x v="93"/>
    <x v="3"/>
    <x v="4"/>
    <s v="Electronics"/>
    <n v="37617.47"/>
    <n v="4513.9799999999996"/>
    <n v="2"/>
    <n v="169804507.2306"/>
    <n v="11.999690569301974"/>
  </r>
  <r>
    <s v="ORD-2747"/>
    <x v="1"/>
    <x v="3"/>
    <x v="16"/>
    <s v="Appliances"/>
    <n v="9472.56"/>
    <n v="2357.7600000000002"/>
    <n v="5"/>
    <n v="22334023.0656"/>
    <n v="24.890420329879149"/>
  </r>
  <r>
    <s v="ORD-2166"/>
    <x v="28"/>
    <x v="0"/>
    <x v="3"/>
    <s v="Clothing"/>
    <n v="3475.32"/>
    <n v="1680.03"/>
    <n v="7"/>
    <n v="5838641.8596000001"/>
    <n v="48.341735437312245"/>
  </r>
  <r>
    <s v="ORD-2040"/>
    <x v="94"/>
    <x v="3"/>
    <x v="9"/>
    <s v="Appliances"/>
    <n v="8878.49"/>
    <n v="2181.11"/>
    <n v="1"/>
    <n v="19364963.323899999"/>
    <n v="24.566226914711851"/>
  </r>
  <r>
    <s v="ORD-7745"/>
    <x v="30"/>
    <x v="0"/>
    <x v="23"/>
    <s v="Clothing"/>
    <n v="4043.19"/>
    <n v="1120.06"/>
    <n v="1"/>
    <n v="4528615.3914000001"/>
    <n v="27.702383514007501"/>
  </r>
  <r>
    <s v="ORD-5262"/>
    <x v="95"/>
    <x v="1"/>
    <x v="1"/>
    <s v="Furniture"/>
    <n v="16439.599999999999"/>
    <n v="4343.09"/>
    <n v="7"/>
    <n v="71398662.363999993"/>
    <n v="26.418465169468845"/>
  </r>
  <r>
    <s v="ORD-9864"/>
    <x v="96"/>
    <x v="2"/>
    <x v="20"/>
    <s v="Furniture"/>
    <n v="39909.910000000003"/>
    <n v="10456.99"/>
    <n v="7"/>
    <n v="417337529.77090001"/>
    <n v="26.201487299770903"/>
  </r>
  <r>
    <s v="ORD-3426"/>
    <x v="97"/>
    <x v="0"/>
    <x v="10"/>
    <s v="Electronics"/>
    <n v="38702.35"/>
    <n v="7429.71"/>
    <n v="1"/>
    <n v="287547236.81849998"/>
    <n v="19.197051341843586"/>
  </r>
  <r>
    <s v="ORD-6994"/>
    <x v="98"/>
    <x v="1"/>
    <x v="20"/>
    <s v="Furniture"/>
    <n v="36991.71"/>
    <n v="10787.82"/>
    <n v="5"/>
    <n v="399059908.97219998"/>
    <n v="29.162804314804585"/>
  </r>
  <r>
    <s v="ORD-6549"/>
    <x v="99"/>
    <x v="3"/>
    <x v="12"/>
    <s v="Electronics"/>
    <n v="64019.85"/>
    <n v="6854.85"/>
    <n v="7"/>
    <n v="438846468.77250004"/>
    <n v="10.707382163500853"/>
  </r>
  <r>
    <s v="ORD-7912"/>
    <x v="100"/>
    <x v="1"/>
    <x v="13"/>
    <s v="Stationery"/>
    <n v="1774.07"/>
    <n v="388.25"/>
    <n v="9"/>
    <n v="688782.67749999999"/>
    <n v="21.884705789512253"/>
  </r>
  <r>
    <s v="ORD-2746"/>
    <x v="101"/>
    <x v="0"/>
    <x v="7"/>
    <s v="Furniture"/>
    <n v="21259.25"/>
    <n v="4966.3900000000003"/>
    <n v="2"/>
    <n v="105581726.6075"/>
    <n v="23.361078118936465"/>
  </r>
  <r>
    <s v="ORD-2911"/>
    <x v="102"/>
    <x v="2"/>
    <x v="10"/>
    <s v="Electronics"/>
    <n v="79735.28"/>
    <n v="7489.89"/>
    <n v="4"/>
    <n v="597208476.31920004"/>
    <n v="9.3934454108645511"/>
  </r>
  <r>
    <s v="ORD-4923"/>
    <x v="103"/>
    <x v="0"/>
    <x v="5"/>
    <s v="Appliances"/>
    <n v="3113.49"/>
    <n v="538.32000000000005"/>
    <n v="2"/>
    <n v="1676053.9368"/>
    <n v="17.289922241600266"/>
  </r>
  <r>
    <s v="ORD-1993"/>
    <x v="104"/>
    <x v="1"/>
    <x v="12"/>
    <s v="Electronics"/>
    <n v="27453.35"/>
    <n v="3963.01"/>
    <n v="3"/>
    <n v="108797900.5835"/>
    <n v="14.435433198498545"/>
  </r>
  <r>
    <s v="ORD-9540"/>
    <x v="105"/>
    <x v="0"/>
    <x v="14"/>
    <s v="Clothing"/>
    <n v="848.68"/>
    <n v="272.79000000000002"/>
    <n v="5"/>
    <n v="231511.4172"/>
    <n v="32.142857142857146"/>
  </r>
  <r>
    <s v="ORD-3153"/>
    <x v="7"/>
    <x v="1"/>
    <x v="14"/>
    <s v="Clothing"/>
    <n v="1290.3800000000001"/>
    <n v="365.23"/>
    <n v="9"/>
    <n v="471285.48740000004"/>
    <n v="28.304065469086627"/>
  </r>
  <r>
    <s v="ORD-8062"/>
    <x v="106"/>
    <x v="3"/>
    <x v="21"/>
    <s v="Stationery"/>
    <n v="1754.91"/>
    <n v="374.75"/>
    <n v="2"/>
    <n v="657652.52250000008"/>
    <n v="21.354371449248109"/>
  </r>
  <r>
    <s v="ORD-6992"/>
    <x v="7"/>
    <x v="3"/>
    <x v="10"/>
    <s v="Electronics"/>
    <n v="49877.2"/>
    <n v="6712.19"/>
    <n v="5"/>
    <n v="334785243.06799996"/>
    <n v="13.457431451645242"/>
  </r>
  <r>
    <s v="ORD-8532"/>
    <x v="76"/>
    <x v="0"/>
    <x v="13"/>
    <s v="Stationery"/>
    <n v="1520.83"/>
    <n v="671.25"/>
    <n v="5"/>
    <n v="1020857.1375"/>
    <n v="44.137083040182006"/>
  </r>
  <r>
    <s v="ORD-4673"/>
    <x v="45"/>
    <x v="2"/>
    <x v="8"/>
    <s v="Electronics"/>
    <n v="76724.759999999995"/>
    <n v="7973.49"/>
    <n v="1"/>
    <n v="611764106.61239994"/>
    <n v="10.392329672976494"/>
  </r>
  <r>
    <s v="ORD-9348"/>
    <x v="107"/>
    <x v="2"/>
    <x v="8"/>
    <s v="Electronics"/>
    <n v="24934.69"/>
    <n v="2473.4699999999998"/>
    <n v="7"/>
    <n v="61675207.674299993"/>
    <n v="9.9197944710762389"/>
  </r>
  <r>
    <s v="ORD-2989"/>
    <x v="108"/>
    <x v="0"/>
    <x v="20"/>
    <s v="Furniture"/>
    <n v="24279.37"/>
    <n v="5653.15"/>
    <n v="2"/>
    <n v="137254920.51549998"/>
    <n v="23.283759010221434"/>
  </r>
  <r>
    <s v="ORD-9042"/>
    <x v="109"/>
    <x v="2"/>
    <x v="16"/>
    <s v="Appliances"/>
    <n v="8102.16"/>
    <n v="1345.53"/>
    <n v="3"/>
    <n v="10901699.344799999"/>
    <n v="16.607052934032406"/>
  </r>
  <r>
    <s v="ORD-1601"/>
    <x v="110"/>
    <x v="2"/>
    <x v="18"/>
    <s v="Clothing"/>
    <n v="2365.1728450701476"/>
    <n v="962.79"/>
    <n v="7"/>
    <n v="2277164.7635050872"/>
    <n v="40.706961523205081"/>
  </r>
  <r>
    <s v="ORD-5673"/>
    <x v="111"/>
    <x v="3"/>
    <x v="19"/>
    <s v="Furniture"/>
    <n v="15384.77"/>
    <n v="4543.22"/>
    <n v="10"/>
    <n v="69896394.75940001"/>
    <n v="29.53063321713617"/>
  </r>
  <r>
    <s v="ORD-4937"/>
    <x v="2"/>
    <x v="3"/>
    <x v="21"/>
    <s v="Stationery"/>
    <n v="1627.28"/>
    <n v="363.31"/>
    <n v="4"/>
    <n v="591207.09679999994"/>
    <n v="22.326213067204172"/>
  </r>
  <r>
    <s v="ORD-2876"/>
    <x v="112"/>
    <x v="1"/>
    <x v="22"/>
    <s v="Clothing"/>
    <n v="1820.75"/>
    <n v="527.17999999999995"/>
    <n v="1"/>
    <n v="959862.98499999987"/>
    <n v="28.954002471508989"/>
  </r>
  <r>
    <s v="ORD-3579"/>
    <x v="103"/>
    <x v="2"/>
    <x v="24"/>
    <s v="Furniture"/>
    <n v="25826.23"/>
    <n v="6489.66"/>
    <n v="4"/>
    <n v="167603451.7818"/>
    <n v="25.128173953379957"/>
  </r>
  <r>
    <s v="ORD-9032"/>
    <x v="113"/>
    <x v="3"/>
    <x v="8"/>
    <s v="Electronics"/>
    <n v="35937.269999999997"/>
    <n v="3514.67"/>
    <n v="3"/>
    <n v="126307644.75089999"/>
    <n v="9.7800138964367651"/>
  </r>
  <r>
    <s v="ORD-6502"/>
    <x v="114"/>
    <x v="2"/>
    <x v="19"/>
    <s v="Furniture"/>
    <n v="13094.15"/>
    <n v="3327.12"/>
    <n v="4"/>
    <n v="43565808.347999997"/>
    <n v="25.409209456131173"/>
  </r>
  <r>
    <s v="ORD-5479"/>
    <x v="55"/>
    <x v="3"/>
    <x v="13"/>
    <s v="Stationery"/>
    <n v="1022.22"/>
    <n v="241.41"/>
    <n v="4"/>
    <n v="246774.13020000001"/>
    <n v="23.616246991841287"/>
  </r>
  <r>
    <s v="ORD-3159"/>
    <x v="115"/>
    <x v="1"/>
    <x v="7"/>
    <s v="Furniture"/>
    <n v="16332"/>
    <n v="2876.67"/>
    <n v="1"/>
    <n v="46981774.439999998"/>
    <n v="17.613703159441588"/>
  </r>
  <r>
    <s v="ORD-7932"/>
    <x v="69"/>
    <x v="0"/>
    <x v="14"/>
    <s v="Clothing"/>
    <n v="4978.17"/>
    <n v="2053.34"/>
    <n v="8"/>
    <n v="10221875.587800002"/>
    <n v="41.246883895085944"/>
  </r>
  <r>
    <s v="ORD-4770"/>
    <x v="116"/>
    <x v="0"/>
    <x v="8"/>
    <s v="Electronics"/>
    <n v="61009.66"/>
    <n v="5311.8"/>
    <n v="2"/>
    <n v="324071111.98800004"/>
    <n v="8.7064900869796684"/>
  </r>
  <r>
    <s v="ORD-4258"/>
    <x v="117"/>
    <x v="1"/>
    <x v="7"/>
    <s v="Furniture"/>
    <n v="38372.49"/>
    <n v="11065.29"/>
    <n v="1"/>
    <n v="424602729.8721"/>
    <n v="28.836518036749769"/>
  </r>
  <r>
    <s v="ORD-6314"/>
    <x v="118"/>
    <x v="1"/>
    <x v="18"/>
    <s v="Clothing"/>
    <n v="2438.09"/>
    <n v="758.37"/>
    <n v="7"/>
    <n v="1848974.3133"/>
    <n v="31.105086358583971"/>
  </r>
  <r>
    <s v="ORD-9666"/>
    <x v="119"/>
    <x v="1"/>
    <x v="12"/>
    <s v="Electronics"/>
    <n v="32190.28"/>
    <n v="6012.03"/>
    <n v="9"/>
    <n v="193528929.0684"/>
    <n v="18.676538383636302"/>
  </r>
  <r>
    <s v="ORD-5335"/>
    <x v="120"/>
    <x v="2"/>
    <x v="19"/>
    <s v="Furniture"/>
    <n v="11083.47"/>
    <n v="1787.32"/>
    <n v="1"/>
    <n v="19809707.600399997"/>
    <n v="16.125996641845923"/>
  </r>
  <r>
    <s v="ORD-4681"/>
    <x v="99"/>
    <x v="3"/>
    <x v="12"/>
    <s v="Electronics"/>
    <n v="47394.41"/>
    <n v="7867.11"/>
    <n v="9"/>
    <n v="372857036.85510004"/>
    <n v="16.599236070245414"/>
  </r>
  <r>
    <s v="ORD-9817"/>
    <x v="121"/>
    <x v="3"/>
    <x v="11"/>
    <s v="Stationery"/>
    <n v="683.11"/>
    <n v="282.08"/>
    <n v="2"/>
    <n v="192691.66879999998"/>
    <n v="41.293495923057776"/>
  </r>
  <r>
    <s v="ORD-1514"/>
    <x v="122"/>
    <x v="2"/>
    <x v="6"/>
    <s v="Appliances"/>
    <n v="5620.2"/>
    <n v="971.24"/>
    <n v="9"/>
    <n v="5458563.0479999995"/>
    <n v="17.281235543219104"/>
  </r>
  <r>
    <s v="ORD-9431"/>
    <x v="123"/>
    <x v="3"/>
    <x v="0"/>
    <s v="Stationery"/>
    <n v="537.65"/>
    <n v="156.16"/>
    <n v="8"/>
    <n v="83959.423999999999"/>
    <n v="29.0449176973867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30FEF-14AA-430C-BACB-B8A852B8A6E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2">
    <pivotField showAll="0"/>
    <pivotField numFmtId="166" showAll="0">
      <items count="125">
        <item x="123"/>
        <item x="119"/>
        <item x="115"/>
        <item x="4"/>
        <item x="31"/>
        <item x="108"/>
        <item x="59"/>
        <item x="96"/>
        <item x="18"/>
        <item x="3"/>
        <item x="118"/>
        <item x="103"/>
        <item x="26"/>
        <item x="43"/>
        <item x="78"/>
        <item x="7"/>
        <item x="27"/>
        <item x="32"/>
        <item x="109"/>
        <item x="74"/>
        <item x="99"/>
        <item x="80"/>
        <item x="63"/>
        <item x="39"/>
        <item x="21"/>
        <item x="102"/>
        <item x="72"/>
        <item x="117"/>
        <item x="44"/>
        <item x="82"/>
        <item x="14"/>
        <item x="100"/>
        <item x="62"/>
        <item x="15"/>
        <item x="69"/>
        <item x="66"/>
        <item x="1"/>
        <item x="0"/>
        <item x="22"/>
        <item x="17"/>
        <item x="29"/>
        <item x="9"/>
        <item x="23"/>
        <item x="64"/>
        <item x="61"/>
        <item x="67"/>
        <item x="6"/>
        <item x="114"/>
        <item x="85"/>
        <item x="89"/>
        <item x="122"/>
        <item x="51"/>
        <item x="106"/>
        <item x="48"/>
        <item x="95"/>
        <item x="94"/>
        <item x="11"/>
        <item x="50"/>
        <item x="104"/>
        <item x="38"/>
        <item x="55"/>
        <item x="20"/>
        <item x="52"/>
        <item x="111"/>
        <item x="101"/>
        <item x="12"/>
        <item x="97"/>
        <item x="25"/>
        <item x="19"/>
        <item x="110"/>
        <item x="24"/>
        <item x="42"/>
        <item x="91"/>
        <item x="121"/>
        <item x="105"/>
        <item x="60"/>
        <item x="107"/>
        <item x="8"/>
        <item x="87"/>
        <item x="65"/>
        <item x="70"/>
        <item x="98"/>
        <item x="53"/>
        <item x="34"/>
        <item x="90"/>
        <item x="86"/>
        <item x="5"/>
        <item x="54"/>
        <item x="35"/>
        <item x="77"/>
        <item x="33"/>
        <item x="58"/>
        <item x="71"/>
        <item x="57"/>
        <item x="68"/>
        <item x="37"/>
        <item x="116"/>
        <item x="13"/>
        <item x="56"/>
        <item x="81"/>
        <item x="16"/>
        <item x="49"/>
        <item x="36"/>
        <item x="88"/>
        <item x="46"/>
        <item x="40"/>
        <item x="93"/>
        <item x="79"/>
        <item x="41"/>
        <item x="75"/>
        <item x="45"/>
        <item x="73"/>
        <item x="47"/>
        <item x="120"/>
        <item x="92"/>
        <item x="30"/>
        <item x="112"/>
        <item x="83"/>
        <item x="28"/>
        <item x="2"/>
        <item x="10"/>
        <item x="84"/>
        <item x="76"/>
        <item x="113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dataField="1" numFmtId="164" showAll="0"/>
    <pivotField numFmtId="164" showAll="0"/>
    <pivotField showAll="0"/>
    <pivotField numFmtId="2" showAll="0"/>
    <pivotField numFmtId="165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5" baseField="0" baseItem="0" numFmtId="164"/>
  </dataFields>
  <pivotTableStyleInfo name="PivotStyleMedium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53B77A-598F-410F-9A35-D2A4381180C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7" firstHeaderRow="1" firstDataRow="1" firstDataCol="1"/>
  <pivotFields count="12">
    <pivotField showAll="0"/>
    <pivotField numFmtId="166" showAll="0">
      <items count="125">
        <item x="123"/>
        <item x="119"/>
        <item x="115"/>
        <item x="4"/>
        <item x="31"/>
        <item x="108"/>
        <item x="59"/>
        <item x="96"/>
        <item x="18"/>
        <item x="3"/>
        <item x="118"/>
        <item x="103"/>
        <item x="26"/>
        <item x="43"/>
        <item x="78"/>
        <item x="7"/>
        <item x="27"/>
        <item x="32"/>
        <item x="109"/>
        <item x="74"/>
        <item x="99"/>
        <item x="80"/>
        <item x="63"/>
        <item x="39"/>
        <item x="21"/>
        <item x="102"/>
        <item x="72"/>
        <item x="117"/>
        <item x="44"/>
        <item x="82"/>
        <item x="14"/>
        <item x="100"/>
        <item x="62"/>
        <item x="15"/>
        <item x="69"/>
        <item x="66"/>
        <item x="1"/>
        <item x="0"/>
        <item x="22"/>
        <item x="17"/>
        <item x="29"/>
        <item x="9"/>
        <item x="23"/>
        <item x="64"/>
        <item x="61"/>
        <item x="67"/>
        <item x="6"/>
        <item x="114"/>
        <item x="85"/>
        <item x="89"/>
        <item x="122"/>
        <item x="51"/>
        <item x="106"/>
        <item x="48"/>
        <item x="95"/>
        <item x="94"/>
        <item x="11"/>
        <item x="50"/>
        <item x="104"/>
        <item x="38"/>
        <item x="55"/>
        <item x="20"/>
        <item x="52"/>
        <item x="111"/>
        <item x="101"/>
        <item x="12"/>
        <item x="97"/>
        <item x="25"/>
        <item x="19"/>
        <item x="110"/>
        <item x="24"/>
        <item x="42"/>
        <item x="91"/>
        <item x="121"/>
        <item x="105"/>
        <item x="60"/>
        <item x="107"/>
        <item x="8"/>
        <item x="87"/>
        <item x="65"/>
        <item x="70"/>
        <item x="98"/>
        <item x="53"/>
        <item x="34"/>
        <item x="90"/>
        <item x="86"/>
        <item x="5"/>
        <item x="54"/>
        <item x="35"/>
        <item x="77"/>
        <item x="33"/>
        <item x="58"/>
        <item x="71"/>
        <item x="57"/>
        <item x="68"/>
        <item x="37"/>
        <item x="116"/>
        <item x="13"/>
        <item x="56"/>
        <item x="81"/>
        <item x="16"/>
        <item x="49"/>
        <item x="36"/>
        <item x="88"/>
        <item x="46"/>
        <item x="40"/>
        <item x="93"/>
        <item x="79"/>
        <item x="41"/>
        <item x="75"/>
        <item x="45"/>
        <item x="73"/>
        <item x="47"/>
        <item x="120"/>
        <item x="92"/>
        <item x="30"/>
        <item x="112"/>
        <item x="83"/>
        <item x="28"/>
        <item x="2"/>
        <item x="10"/>
        <item x="84"/>
        <item x="76"/>
        <item x="113"/>
        <item t="default"/>
      </items>
    </pivotField>
    <pivotField showAll="0"/>
    <pivotField axis="axisRow" showAll="0">
      <items count="26">
        <item x="6"/>
        <item x="20"/>
        <item x="16"/>
        <item x="15"/>
        <item x="11"/>
        <item x="4"/>
        <item x="9"/>
        <item x="18"/>
        <item x="23"/>
        <item x="14"/>
        <item x="8"/>
        <item x="21"/>
        <item x="5"/>
        <item x="0"/>
        <item x="24"/>
        <item x="13"/>
        <item x="2"/>
        <item x="3"/>
        <item x="12"/>
        <item x="17"/>
        <item x="1"/>
        <item x="19"/>
        <item x="10"/>
        <item x="22"/>
        <item x="7"/>
        <item t="default"/>
      </items>
    </pivotField>
    <pivotField showAll="0"/>
    <pivotField dataField="1" numFmtId="164" showAll="0"/>
    <pivotField numFmtId="164" showAll="0"/>
    <pivotField showAll="0"/>
    <pivotField numFmtId="2" showAll="0"/>
    <pivotField numFmtId="165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Sales_Amount" fld="5" baseField="0" baseItem="0" numFmtId="164"/>
  </dataFields>
  <pivotTableStyleInfo name="PivotStyleMedium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7082E9-7389-4E5D-B922-D9F12784DBF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4" firstHeaderRow="1" firstDataRow="1" firstDataCol="1"/>
  <pivotFields count="12">
    <pivotField showAll="0"/>
    <pivotField axis="axisRow" numFmtId="166" showAll="0">
      <items count="125">
        <item x="123"/>
        <item x="119"/>
        <item x="115"/>
        <item x="4"/>
        <item x="31"/>
        <item x="108"/>
        <item x="59"/>
        <item x="96"/>
        <item x="18"/>
        <item x="3"/>
        <item x="118"/>
        <item x="103"/>
        <item x="26"/>
        <item x="43"/>
        <item x="78"/>
        <item x="7"/>
        <item x="27"/>
        <item x="32"/>
        <item x="109"/>
        <item x="74"/>
        <item x="99"/>
        <item x="80"/>
        <item x="63"/>
        <item x="39"/>
        <item x="21"/>
        <item x="102"/>
        <item x="72"/>
        <item x="117"/>
        <item x="44"/>
        <item x="82"/>
        <item x="14"/>
        <item x="100"/>
        <item x="62"/>
        <item x="15"/>
        <item x="69"/>
        <item x="66"/>
        <item x="1"/>
        <item x="0"/>
        <item x="22"/>
        <item x="17"/>
        <item x="29"/>
        <item x="9"/>
        <item x="23"/>
        <item x="64"/>
        <item x="61"/>
        <item x="67"/>
        <item x="6"/>
        <item x="114"/>
        <item x="85"/>
        <item x="89"/>
        <item x="122"/>
        <item x="51"/>
        <item x="106"/>
        <item x="48"/>
        <item x="95"/>
        <item x="94"/>
        <item x="11"/>
        <item x="50"/>
        <item x="104"/>
        <item x="38"/>
        <item x="55"/>
        <item x="20"/>
        <item x="52"/>
        <item x="111"/>
        <item x="101"/>
        <item x="12"/>
        <item x="97"/>
        <item x="25"/>
        <item x="19"/>
        <item x="110"/>
        <item x="24"/>
        <item x="42"/>
        <item x="91"/>
        <item x="121"/>
        <item x="105"/>
        <item x="60"/>
        <item x="107"/>
        <item x="8"/>
        <item x="87"/>
        <item x="65"/>
        <item x="70"/>
        <item x="98"/>
        <item x="53"/>
        <item x="34"/>
        <item x="90"/>
        <item x="86"/>
        <item x="5"/>
        <item x="54"/>
        <item x="35"/>
        <item x="77"/>
        <item x="33"/>
        <item x="58"/>
        <item x="71"/>
        <item x="57"/>
        <item x="68"/>
        <item x="37"/>
        <item x="116"/>
        <item x="13"/>
        <item x="56"/>
        <item x="81"/>
        <item x="16"/>
        <item x="49"/>
        <item x="36"/>
        <item x="88"/>
        <item x="46"/>
        <item x="40"/>
        <item x="93"/>
        <item x="79"/>
        <item x="41"/>
        <item x="75"/>
        <item x="45"/>
        <item x="73"/>
        <item x="47"/>
        <item x="120"/>
        <item x="92"/>
        <item x="30"/>
        <item x="112"/>
        <item x="83"/>
        <item x="28"/>
        <item x="2"/>
        <item x="10"/>
        <item x="84"/>
        <item x="76"/>
        <item x="113"/>
        <item t="default"/>
      </items>
    </pivotField>
    <pivotField showAll="0"/>
    <pivotField showAll="0"/>
    <pivotField showAll="0"/>
    <pivotField dataField="1" numFmtId="164" showAll="0"/>
    <pivotField numFmtId="164" showAll="0"/>
    <pivotField showAll="0"/>
    <pivotField numFmtId="2" showAll="0"/>
    <pivotField numFmtId="165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_Amount" fld="5" baseField="0" baseItem="0" numFmtId="164"/>
  </dataFields>
  <pivotTableStyleInfo name="PivotStyleMedium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tabSelected="1" zoomScale="102" workbookViewId="0">
      <pane ySplit="1" topLeftCell="A2" activePane="bottomLeft" state="frozen"/>
      <selection pane="bottomLeft" activeCell="L137" sqref="L137"/>
    </sheetView>
  </sheetViews>
  <sheetFormatPr defaultRowHeight="14.4" x14ac:dyDescent="0.3"/>
  <cols>
    <col min="1" max="1" width="14" customWidth="1"/>
    <col min="2" max="2" width="15" customWidth="1"/>
    <col min="3" max="3" width="10" customWidth="1"/>
    <col min="4" max="4" width="15.33203125" customWidth="1"/>
    <col min="5" max="5" width="14" customWidth="1"/>
    <col min="6" max="6" width="16" customWidth="1"/>
    <col min="7" max="7" width="14" customWidth="1"/>
    <col min="8" max="8" width="10" customWidth="1"/>
    <col min="9" max="9" width="18.5546875" customWidth="1"/>
    <col min="10" max="10" width="16.77734375" customWidth="1"/>
  </cols>
  <sheetData>
    <row r="1" spans="1:10" ht="19.9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232</v>
      </c>
      <c r="J1" s="7" t="s">
        <v>233</v>
      </c>
    </row>
    <row r="2" spans="1:10" x14ac:dyDescent="0.3">
      <c r="A2" s="9" t="s">
        <v>8</v>
      </c>
      <c r="B2" s="10">
        <v>45414</v>
      </c>
      <c r="C2" s="9" t="s">
        <v>9</v>
      </c>
      <c r="D2" s="9" t="s">
        <v>10</v>
      </c>
      <c r="E2" s="9" t="s">
        <v>11</v>
      </c>
      <c r="F2" s="11">
        <v>1215.1500000000001</v>
      </c>
      <c r="G2" s="11">
        <v>309.24</v>
      </c>
      <c r="H2" s="9">
        <v>5</v>
      </c>
      <c r="I2" s="17">
        <f t="shared" ref="I2:I33" si="0">F2*G2</f>
        <v>375772.98600000003</v>
      </c>
      <c r="J2" s="12">
        <f>IF(F2=0,0,(G2/F2)*100)</f>
        <v>25.448710035798051</v>
      </c>
    </row>
    <row r="3" spans="1:10" x14ac:dyDescent="0.3">
      <c r="A3" s="13" t="s">
        <v>12</v>
      </c>
      <c r="B3" s="14">
        <v>45413</v>
      </c>
      <c r="C3" s="13" t="s">
        <v>9</v>
      </c>
      <c r="D3" s="13" t="s">
        <v>13</v>
      </c>
      <c r="E3" s="13" t="s">
        <v>14</v>
      </c>
      <c r="F3" s="15">
        <v>5867.52</v>
      </c>
      <c r="G3" s="15">
        <v>1528.4</v>
      </c>
      <c r="H3" s="13">
        <v>6</v>
      </c>
      <c r="I3" s="18">
        <f t="shared" si="0"/>
        <v>8967917.5680000018</v>
      </c>
      <c r="J3" s="16">
        <f t="shared" ref="J3:J66" si="1">IF(F3=0,0,(G3/F3)*100)</f>
        <v>26.048483856893544</v>
      </c>
    </row>
    <row r="4" spans="1:10" x14ac:dyDescent="0.3">
      <c r="A4" s="9" t="s">
        <v>15</v>
      </c>
      <c r="B4" s="10">
        <v>45645</v>
      </c>
      <c r="C4" s="9" t="s">
        <v>16</v>
      </c>
      <c r="D4" s="9" t="s">
        <v>17</v>
      </c>
      <c r="E4" s="9" t="s">
        <v>11</v>
      </c>
      <c r="F4" s="11">
        <v>558.59</v>
      </c>
      <c r="G4" s="11">
        <v>165.44</v>
      </c>
      <c r="H4" s="9">
        <v>8</v>
      </c>
      <c r="I4" s="17">
        <f t="shared" si="0"/>
        <v>92413.1296</v>
      </c>
      <c r="J4" s="12">
        <f t="shared" si="1"/>
        <v>29.617429599527377</v>
      </c>
    </row>
    <row r="5" spans="1:10" x14ac:dyDescent="0.3">
      <c r="A5" s="13" t="s">
        <v>18</v>
      </c>
      <c r="B5" s="14">
        <v>45318</v>
      </c>
      <c r="C5" s="13" t="s">
        <v>9</v>
      </c>
      <c r="D5" s="13" t="s">
        <v>19</v>
      </c>
      <c r="E5" s="13" t="s">
        <v>20</v>
      </c>
      <c r="F5" s="15">
        <v>1089.56</v>
      </c>
      <c r="G5" s="15">
        <v>350.85</v>
      </c>
      <c r="H5" s="13">
        <v>8</v>
      </c>
      <c r="I5" s="18">
        <f t="shared" si="0"/>
        <v>382272.12599999999</v>
      </c>
      <c r="J5" s="16">
        <f t="shared" si="1"/>
        <v>32.201071992363893</v>
      </c>
    </row>
    <row r="6" spans="1:10" x14ac:dyDescent="0.3">
      <c r="A6" s="9" t="s">
        <v>21</v>
      </c>
      <c r="B6" s="10">
        <v>45304</v>
      </c>
      <c r="C6" s="9" t="s">
        <v>9</v>
      </c>
      <c r="D6" s="9" t="s">
        <v>17</v>
      </c>
      <c r="E6" s="9" t="s">
        <v>11</v>
      </c>
      <c r="F6" s="11">
        <v>701.49</v>
      </c>
      <c r="G6" s="11">
        <v>152.47</v>
      </c>
      <c r="H6" s="9">
        <v>5</v>
      </c>
      <c r="I6" s="17">
        <f t="shared" si="0"/>
        <v>106956.18030000001</v>
      </c>
      <c r="J6" s="12">
        <f t="shared" si="1"/>
        <v>21.735163722932615</v>
      </c>
    </row>
    <row r="7" spans="1:10" x14ac:dyDescent="0.3">
      <c r="A7" s="13" t="s">
        <v>22</v>
      </c>
      <c r="B7" s="14">
        <v>45575</v>
      </c>
      <c r="C7" s="13" t="s">
        <v>9</v>
      </c>
      <c r="D7" s="13" t="s">
        <v>13</v>
      </c>
      <c r="E7" s="13" t="s">
        <v>14</v>
      </c>
      <c r="F7" s="15">
        <v>28272.53</v>
      </c>
      <c r="G7" s="15">
        <v>5848.79</v>
      </c>
      <c r="H7" s="13">
        <v>3</v>
      </c>
      <c r="I7" s="18">
        <f t="shared" si="0"/>
        <v>165360090.7387</v>
      </c>
      <c r="J7" s="16">
        <f t="shared" si="1"/>
        <v>20.687182929861599</v>
      </c>
    </row>
    <row r="8" spans="1:10" x14ac:dyDescent="0.3">
      <c r="A8" s="9" t="s">
        <v>23</v>
      </c>
      <c r="B8" s="10">
        <v>45453</v>
      </c>
      <c r="C8" s="9" t="s">
        <v>24</v>
      </c>
      <c r="D8" s="9" t="s">
        <v>25</v>
      </c>
      <c r="E8" s="9" t="s">
        <v>26</v>
      </c>
      <c r="F8" s="11">
        <v>55375.35</v>
      </c>
      <c r="G8" s="11">
        <v>8171.14</v>
      </c>
      <c r="H8" s="9">
        <v>2</v>
      </c>
      <c r="I8" s="17">
        <f t="shared" si="0"/>
        <v>452479737.39899999</v>
      </c>
      <c r="J8" s="12">
        <f t="shared" si="1"/>
        <v>14.75591576396357</v>
      </c>
    </row>
    <row r="9" spans="1:10" x14ac:dyDescent="0.3">
      <c r="A9" s="13" t="s">
        <v>27</v>
      </c>
      <c r="B9" s="14">
        <v>45338</v>
      </c>
      <c r="C9" s="13" t="s">
        <v>9</v>
      </c>
      <c r="D9" s="13" t="s">
        <v>28</v>
      </c>
      <c r="E9" s="13" t="s">
        <v>29</v>
      </c>
      <c r="F9" s="15">
        <v>2657.52</v>
      </c>
      <c r="G9" s="15">
        <v>398.7</v>
      </c>
      <c r="H9" s="13">
        <v>3</v>
      </c>
      <c r="I9" s="18">
        <f t="shared" si="0"/>
        <v>1059553.2239999999</v>
      </c>
      <c r="J9" s="16">
        <f t="shared" si="1"/>
        <v>15.002709292874558</v>
      </c>
    </row>
    <row r="10" spans="1:10" x14ac:dyDescent="0.3">
      <c r="A10" s="9" t="s">
        <v>30</v>
      </c>
      <c r="B10" s="10">
        <v>45548</v>
      </c>
      <c r="C10" s="9" t="s">
        <v>9</v>
      </c>
      <c r="D10" s="9" t="s">
        <v>28</v>
      </c>
      <c r="E10" s="9" t="s">
        <v>29</v>
      </c>
      <c r="F10" s="11">
        <v>13316.74</v>
      </c>
      <c r="G10" s="11">
        <v>1927.82</v>
      </c>
      <c r="H10" s="9">
        <v>9</v>
      </c>
      <c r="I10" s="17">
        <f t="shared" si="0"/>
        <v>25672277.706799999</v>
      </c>
      <c r="J10" s="12">
        <f t="shared" si="1"/>
        <v>14.476666211099715</v>
      </c>
    </row>
    <row r="11" spans="1:10" x14ac:dyDescent="0.3">
      <c r="A11" s="13" t="s">
        <v>31</v>
      </c>
      <c r="B11" s="14">
        <v>45453</v>
      </c>
      <c r="C11" s="13" t="s">
        <v>24</v>
      </c>
      <c r="D11" s="13" t="s">
        <v>32</v>
      </c>
      <c r="E11" s="13" t="s">
        <v>29</v>
      </c>
      <c r="F11" s="15">
        <v>4490.03</v>
      </c>
      <c r="G11" s="15">
        <v>946.46</v>
      </c>
      <c r="H11" s="13">
        <v>5</v>
      </c>
      <c r="I11" s="18">
        <f t="shared" si="0"/>
        <v>4249633.7938000001</v>
      </c>
      <c r="J11" s="16">
        <f t="shared" si="1"/>
        <v>21.079146464500241</v>
      </c>
    </row>
    <row r="12" spans="1:10" x14ac:dyDescent="0.3">
      <c r="A12" s="9" t="s">
        <v>33</v>
      </c>
      <c r="B12" s="10">
        <v>45433</v>
      </c>
      <c r="C12" s="9" t="s">
        <v>9</v>
      </c>
      <c r="D12" s="9" t="s">
        <v>34</v>
      </c>
      <c r="E12" s="9" t="s">
        <v>14</v>
      </c>
      <c r="F12" s="11">
        <v>13772.9</v>
      </c>
      <c r="G12" s="11">
        <v>2426.4299999999998</v>
      </c>
      <c r="H12" s="9">
        <v>1</v>
      </c>
      <c r="I12" s="17">
        <f t="shared" si="0"/>
        <v>33418977.746999998</v>
      </c>
      <c r="J12" s="12">
        <f t="shared" si="1"/>
        <v>17.617422619782324</v>
      </c>
    </row>
    <row r="13" spans="1:10" x14ac:dyDescent="0.3">
      <c r="A13" s="13" t="s">
        <v>35</v>
      </c>
      <c r="B13" s="14">
        <v>45646</v>
      </c>
      <c r="C13" s="13" t="s">
        <v>9</v>
      </c>
      <c r="D13" s="13" t="s">
        <v>19</v>
      </c>
      <c r="E13" s="13" t="s">
        <v>20</v>
      </c>
      <c r="F13" s="15">
        <v>2160.59</v>
      </c>
      <c r="G13" s="15">
        <v>839.1</v>
      </c>
      <c r="H13" s="13">
        <v>6</v>
      </c>
      <c r="I13" s="18">
        <f t="shared" si="0"/>
        <v>1812951.0690000001</v>
      </c>
      <c r="J13" s="16">
        <f t="shared" si="1"/>
        <v>38.836614073007837</v>
      </c>
    </row>
    <row r="14" spans="1:10" x14ac:dyDescent="0.3">
      <c r="A14" s="9" t="s">
        <v>36</v>
      </c>
      <c r="B14" s="10">
        <v>45493</v>
      </c>
      <c r="C14" s="9" t="s">
        <v>24</v>
      </c>
      <c r="D14" s="9" t="s">
        <v>25</v>
      </c>
      <c r="E14" s="9" t="s">
        <v>26</v>
      </c>
      <c r="F14" s="11">
        <v>23820.47</v>
      </c>
      <c r="G14" s="11">
        <v>3225.38</v>
      </c>
      <c r="H14" s="9">
        <v>1</v>
      </c>
      <c r="I14" s="17">
        <f t="shared" si="0"/>
        <v>76830067.528600007</v>
      </c>
      <c r="J14" s="12">
        <f t="shared" si="1"/>
        <v>13.540370949859511</v>
      </c>
    </row>
    <row r="15" spans="1:10" x14ac:dyDescent="0.3">
      <c r="A15" s="13" t="s">
        <v>37</v>
      </c>
      <c r="B15" s="14">
        <v>45510</v>
      </c>
      <c r="C15" s="13" t="s">
        <v>38</v>
      </c>
      <c r="D15" s="13" t="s">
        <v>13</v>
      </c>
      <c r="E15" s="13" t="s">
        <v>14</v>
      </c>
      <c r="F15" s="15">
        <v>20752.439999999999</v>
      </c>
      <c r="G15" s="15">
        <v>5453.05</v>
      </c>
      <c r="H15" s="13">
        <v>5</v>
      </c>
      <c r="I15" s="18">
        <f t="shared" si="0"/>
        <v>113164092.942</v>
      </c>
      <c r="J15" s="16">
        <f t="shared" si="1"/>
        <v>26.276669153121272</v>
      </c>
    </row>
    <row r="16" spans="1:10" x14ac:dyDescent="0.3">
      <c r="A16" s="9" t="s">
        <v>39</v>
      </c>
      <c r="B16" s="10">
        <v>45594</v>
      </c>
      <c r="C16" s="9" t="s">
        <v>38</v>
      </c>
      <c r="D16" s="9" t="s">
        <v>40</v>
      </c>
      <c r="E16" s="9" t="s">
        <v>26</v>
      </c>
      <c r="F16" s="11">
        <v>21090.19</v>
      </c>
      <c r="G16" s="11">
        <v>2276.04</v>
      </c>
      <c r="H16" s="9">
        <v>10</v>
      </c>
      <c r="I16" s="17">
        <f t="shared" si="0"/>
        <v>48002116.047599994</v>
      </c>
      <c r="J16" s="12">
        <f t="shared" si="1"/>
        <v>10.791936914745671</v>
      </c>
    </row>
    <row r="17" spans="1:10" x14ac:dyDescent="0.3">
      <c r="A17" s="13" t="s">
        <v>41</v>
      </c>
      <c r="B17" s="14">
        <v>45381</v>
      </c>
      <c r="C17" s="13" t="s">
        <v>38</v>
      </c>
      <c r="D17" s="13" t="s">
        <v>42</v>
      </c>
      <c r="E17" s="13" t="s">
        <v>29</v>
      </c>
      <c r="F17" s="15">
        <v>7443.3278185791169</v>
      </c>
      <c r="G17" s="15">
        <v>1769.54</v>
      </c>
      <c r="H17" s="13">
        <v>10</v>
      </c>
      <c r="I17" s="18">
        <f t="shared" si="0"/>
        <v>13171266.308088491</v>
      </c>
      <c r="J17" s="16">
        <f t="shared" si="1"/>
        <v>23.773506194139298</v>
      </c>
    </row>
    <row r="18" spans="1:10" x14ac:dyDescent="0.3">
      <c r="A18" s="9" t="s">
        <v>43</v>
      </c>
      <c r="B18" s="10">
        <v>45399</v>
      </c>
      <c r="C18" s="9" t="s">
        <v>9</v>
      </c>
      <c r="D18" s="9" t="s">
        <v>44</v>
      </c>
      <c r="E18" s="9" t="s">
        <v>26</v>
      </c>
      <c r="F18" s="11">
        <v>65707.56</v>
      </c>
      <c r="G18" s="11">
        <v>12227.92</v>
      </c>
      <c r="H18" s="9">
        <v>7</v>
      </c>
      <c r="I18" s="17">
        <f t="shared" si="0"/>
        <v>803466787.07519996</v>
      </c>
      <c r="J18" s="12">
        <f t="shared" si="1"/>
        <v>18.609609000851655</v>
      </c>
    </row>
    <row r="19" spans="1:10" x14ac:dyDescent="0.3">
      <c r="A19" s="13" t="s">
        <v>45</v>
      </c>
      <c r="B19" s="14">
        <v>45602</v>
      </c>
      <c r="C19" s="13" t="s">
        <v>24</v>
      </c>
      <c r="D19" s="13" t="s">
        <v>46</v>
      </c>
      <c r="E19" s="13" t="s">
        <v>11</v>
      </c>
      <c r="F19" s="15">
        <v>542.14</v>
      </c>
      <c r="G19" s="15">
        <v>114.44</v>
      </c>
      <c r="H19" s="13">
        <v>7</v>
      </c>
      <c r="I19" s="18">
        <f t="shared" si="0"/>
        <v>62042.501599999996</v>
      </c>
      <c r="J19" s="16">
        <f t="shared" si="1"/>
        <v>21.108938650533073</v>
      </c>
    </row>
    <row r="20" spans="1:10" x14ac:dyDescent="0.3">
      <c r="A20" s="9" t="s">
        <v>47</v>
      </c>
      <c r="B20" s="10">
        <v>45426</v>
      </c>
      <c r="C20" s="9" t="s">
        <v>38</v>
      </c>
      <c r="D20" s="9" t="s">
        <v>42</v>
      </c>
      <c r="E20" s="9" t="s">
        <v>29</v>
      </c>
      <c r="F20" s="11">
        <v>6705.95</v>
      </c>
      <c r="G20" s="11">
        <v>1673.8</v>
      </c>
      <c r="H20" s="9">
        <v>3</v>
      </c>
      <c r="I20" s="17">
        <f t="shared" si="0"/>
        <v>11224419.109999999</v>
      </c>
      <c r="J20" s="12">
        <f t="shared" si="1"/>
        <v>24.959923649893007</v>
      </c>
    </row>
    <row r="21" spans="1:10" x14ac:dyDescent="0.3">
      <c r="A21" s="13" t="s">
        <v>48</v>
      </c>
      <c r="B21" s="14">
        <v>45317</v>
      </c>
      <c r="C21" s="13" t="s">
        <v>24</v>
      </c>
      <c r="D21" s="13" t="s">
        <v>49</v>
      </c>
      <c r="E21" s="13" t="s">
        <v>26</v>
      </c>
      <c r="F21" s="15">
        <v>25810.22</v>
      </c>
      <c r="G21" s="15">
        <v>3568.96</v>
      </c>
      <c r="H21" s="13">
        <v>4</v>
      </c>
      <c r="I21" s="18">
        <f t="shared" si="0"/>
        <v>92115642.771200001</v>
      </c>
      <c r="J21" s="16">
        <f t="shared" si="1"/>
        <v>13.827700809989221</v>
      </c>
    </row>
    <row r="22" spans="1:10" x14ac:dyDescent="0.3">
      <c r="A22" s="9" t="s">
        <v>50</v>
      </c>
      <c r="B22" s="10">
        <v>45523</v>
      </c>
      <c r="C22" s="9" t="s">
        <v>9</v>
      </c>
      <c r="D22" s="9" t="s">
        <v>28</v>
      </c>
      <c r="E22" s="9" t="s">
        <v>29</v>
      </c>
      <c r="F22" s="11">
        <v>11454.16</v>
      </c>
      <c r="G22" s="11">
        <v>2706.76</v>
      </c>
      <c r="H22" s="9">
        <v>9</v>
      </c>
      <c r="I22" s="17">
        <f t="shared" si="0"/>
        <v>31003662.121600002</v>
      </c>
      <c r="J22" s="12">
        <f t="shared" si="1"/>
        <v>23.631239654413768</v>
      </c>
    </row>
    <row r="23" spans="1:10" x14ac:dyDescent="0.3">
      <c r="A23" s="13" t="s">
        <v>51</v>
      </c>
      <c r="B23" s="14">
        <v>45506</v>
      </c>
      <c r="C23" s="13" t="s">
        <v>9</v>
      </c>
      <c r="D23" s="13" t="s">
        <v>52</v>
      </c>
      <c r="E23" s="13" t="s">
        <v>11</v>
      </c>
      <c r="F23" s="15">
        <v>691.28</v>
      </c>
      <c r="G23" s="15">
        <v>222.18</v>
      </c>
      <c r="H23" s="13">
        <v>7</v>
      </c>
      <c r="I23" s="18">
        <f t="shared" si="0"/>
        <v>153588.59039999999</v>
      </c>
      <c r="J23" s="16">
        <f t="shared" si="1"/>
        <v>32.14037727114917</v>
      </c>
    </row>
    <row r="24" spans="1:10" x14ac:dyDescent="0.3">
      <c r="A24" s="9" t="s">
        <v>53</v>
      </c>
      <c r="B24" s="10">
        <v>45361</v>
      </c>
      <c r="C24" s="9" t="s">
        <v>38</v>
      </c>
      <c r="D24" s="9" t="s">
        <v>17</v>
      </c>
      <c r="E24" s="9" t="s">
        <v>11</v>
      </c>
      <c r="F24" s="11">
        <v>1406.88</v>
      </c>
      <c r="G24" s="11">
        <v>542.75</v>
      </c>
      <c r="H24" s="9">
        <v>9</v>
      </c>
      <c r="I24" s="17">
        <f t="shared" si="0"/>
        <v>763584.12000000011</v>
      </c>
      <c r="J24" s="12">
        <f t="shared" si="1"/>
        <v>38.578272489480263</v>
      </c>
    </row>
    <row r="25" spans="1:10" x14ac:dyDescent="0.3">
      <c r="A25" s="13" t="s">
        <v>54</v>
      </c>
      <c r="B25" s="14">
        <v>45421</v>
      </c>
      <c r="C25" s="13" t="s">
        <v>38</v>
      </c>
      <c r="D25" s="13" t="s">
        <v>40</v>
      </c>
      <c r="E25" s="13" t="s">
        <v>26</v>
      </c>
      <c r="F25" s="15">
        <v>41045.980000000003</v>
      </c>
      <c r="G25" s="15">
        <v>3648.57</v>
      </c>
      <c r="H25" s="13">
        <v>1</v>
      </c>
      <c r="I25" s="18">
        <f t="shared" si="0"/>
        <v>149759131.24860001</v>
      </c>
      <c r="J25" s="16">
        <f t="shared" si="1"/>
        <v>8.8889825507881639</v>
      </c>
    </row>
    <row r="26" spans="1:10" x14ac:dyDescent="0.3">
      <c r="A26" s="9" t="s">
        <v>55</v>
      </c>
      <c r="B26" s="10">
        <v>45361</v>
      </c>
      <c r="C26" s="9" t="s">
        <v>24</v>
      </c>
      <c r="D26" s="9" t="s">
        <v>56</v>
      </c>
      <c r="E26" s="9" t="s">
        <v>20</v>
      </c>
      <c r="F26" s="11">
        <v>2029.44</v>
      </c>
      <c r="G26" s="11">
        <v>907.02</v>
      </c>
      <c r="H26" s="9">
        <v>5</v>
      </c>
      <c r="I26" s="17">
        <f t="shared" si="0"/>
        <v>1840742.6688000001</v>
      </c>
      <c r="J26" s="12">
        <f t="shared" si="1"/>
        <v>44.693117313150424</v>
      </c>
    </row>
    <row r="27" spans="1:10" x14ac:dyDescent="0.3">
      <c r="A27" s="13" t="s">
        <v>57</v>
      </c>
      <c r="B27" s="14">
        <v>45436</v>
      </c>
      <c r="C27" s="13" t="s">
        <v>16</v>
      </c>
      <c r="D27" s="13" t="s">
        <v>58</v>
      </c>
      <c r="E27" s="13" t="s">
        <v>29</v>
      </c>
      <c r="F27" s="15">
        <v>14985.73</v>
      </c>
      <c r="G27" s="15">
        <v>2599.2199999999998</v>
      </c>
      <c r="H27" s="13">
        <v>3</v>
      </c>
      <c r="I27" s="18">
        <f t="shared" si="0"/>
        <v>38951209.130599998</v>
      </c>
      <c r="J27" s="16">
        <f t="shared" si="1"/>
        <v>17.344633861680411</v>
      </c>
    </row>
    <row r="28" spans="1:10" x14ac:dyDescent="0.3">
      <c r="A28" s="9" t="s">
        <v>59</v>
      </c>
      <c r="B28" s="10">
        <v>45528</v>
      </c>
      <c r="C28" s="9" t="s">
        <v>38</v>
      </c>
      <c r="D28" s="9" t="s">
        <v>19</v>
      </c>
      <c r="E28" s="9" t="s">
        <v>20</v>
      </c>
      <c r="F28" s="11">
        <v>1488.27</v>
      </c>
      <c r="G28" s="11">
        <v>492.72</v>
      </c>
      <c r="H28" s="9">
        <v>1</v>
      </c>
      <c r="I28" s="17">
        <f t="shared" si="0"/>
        <v>733300.39439999999</v>
      </c>
      <c r="J28" s="12">
        <f t="shared" si="1"/>
        <v>33.106895926142435</v>
      </c>
    </row>
    <row r="29" spans="1:10" x14ac:dyDescent="0.3">
      <c r="A29" s="13" t="s">
        <v>60</v>
      </c>
      <c r="B29" s="14">
        <v>45522</v>
      </c>
      <c r="C29" s="13" t="s">
        <v>9</v>
      </c>
      <c r="D29" s="13" t="s">
        <v>46</v>
      </c>
      <c r="E29" s="13" t="s">
        <v>11</v>
      </c>
      <c r="F29" s="15">
        <v>1298.5999999999999</v>
      </c>
      <c r="G29" s="15">
        <v>382.76</v>
      </c>
      <c r="H29" s="13">
        <v>1</v>
      </c>
      <c r="I29" s="18">
        <f t="shared" si="0"/>
        <v>497052.13599999994</v>
      </c>
      <c r="J29" s="16">
        <f t="shared" si="1"/>
        <v>29.474819035884803</v>
      </c>
    </row>
    <row r="30" spans="1:10" x14ac:dyDescent="0.3">
      <c r="A30" s="9" t="s">
        <v>61</v>
      </c>
      <c r="B30" s="10">
        <v>45322</v>
      </c>
      <c r="C30" s="9" t="s">
        <v>9</v>
      </c>
      <c r="D30" s="9" t="s">
        <v>10</v>
      </c>
      <c r="E30" s="9" t="s">
        <v>11</v>
      </c>
      <c r="F30" s="11">
        <v>1973.56</v>
      </c>
      <c r="G30" s="11">
        <v>525.55999999999995</v>
      </c>
      <c r="H30" s="9">
        <v>8</v>
      </c>
      <c r="I30" s="17">
        <f t="shared" si="0"/>
        <v>1037224.1935999999</v>
      </c>
      <c r="J30" s="12">
        <f t="shared" si="1"/>
        <v>26.630049251099535</v>
      </c>
    </row>
    <row r="31" spans="1:10" x14ac:dyDescent="0.3">
      <c r="A31" s="13" t="s">
        <v>62</v>
      </c>
      <c r="B31" s="14">
        <v>45339</v>
      </c>
      <c r="C31" s="13" t="s">
        <v>38</v>
      </c>
      <c r="D31" s="13" t="s">
        <v>44</v>
      </c>
      <c r="E31" s="13" t="s">
        <v>26</v>
      </c>
      <c r="F31" s="15">
        <v>70087.13</v>
      </c>
      <c r="G31" s="15">
        <v>10684.58</v>
      </c>
      <c r="H31" s="13">
        <v>1</v>
      </c>
      <c r="I31" s="18">
        <f t="shared" si="0"/>
        <v>748851547.45539999</v>
      </c>
      <c r="J31" s="16">
        <f t="shared" si="1"/>
        <v>15.244710405462456</v>
      </c>
    </row>
    <row r="32" spans="1:10" x14ac:dyDescent="0.3">
      <c r="A32" s="9" t="s">
        <v>63</v>
      </c>
      <c r="B32" s="10">
        <v>45643</v>
      </c>
      <c r="C32" s="9" t="s">
        <v>16</v>
      </c>
      <c r="D32" s="9" t="s">
        <v>64</v>
      </c>
      <c r="E32" s="9" t="s">
        <v>29</v>
      </c>
      <c r="F32" s="11">
        <v>2787.15</v>
      </c>
      <c r="G32" s="11">
        <v>394.05</v>
      </c>
      <c r="H32" s="9">
        <v>2</v>
      </c>
      <c r="I32" s="17">
        <f t="shared" si="0"/>
        <v>1098276.4575</v>
      </c>
      <c r="J32" s="12">
        <f t="shared" si="1"/>
        <v>14.138098057155158</v>
      </c>
    </row>
    <row r="33" spans="1:10" x14ac:dyDescent="0.3">
      <c r="A33" s="13" t="s">
        <v>65</v>
      </c>
      <c r="B33" s="14">
        <v>45431</v>
      </c>
      <c r="C33" s="13" t="s">
        <v>16</v>
      </c>
      <c r="D33" s="13" t="s">
        <v>32</v>
      </c>
      <c r="E33" s="13" t="s">
        <v>29</v>
      </c>
      <c r="F33" s="15">
        <v>11328.96</v>
      </c>
      <c r="G33" s="15">
        <v>1478.88</v>
      </c>
      <c r="H33" s="13">
        <v>5</v>
      </c>
      <c r="I33" s="18">
        <f t="shared" si="0"/>
        <v>16754172.364800001</v>
      </c>
      <c r="J33" s="16">
        <f t="shared" si="1"/>
        <v>13.053978476400307</v>
      </c>
    </row>
    <row r="34" spans="1:10" x14ac:dyDescent="0.3">
      <c r="A34" s="9" t="s">
        <v>66</v>
      </c>
      <c r="B34" s="10">
        <v>45634</v>
      </c>
      <c r="C34" s="9" t="s">
        <v>38</v>
      </c>
      <c r="D34" s="9" t="s">
        <v>13</v>
      </c>
      <c r="E34" s="9" t="s">
        <v>14</v>
      </c>
      <c r="F34" s="11">
        <v>37183.96</v>
      </c>
      <c r="G34" s="11">
        <v>11047.66</v>
      </c>
      <c r="H34" s="9">
        <v>9</v>
      </c>
      <c r="I34" s="17">
        <f t="shared" ref="I34:I65" si="2">F34*G34</f>
        <v>410795747.53359997</v>
      </c>
      <c r="J34" s="12">
        <f t="shared" si="1"/>
        <v>29.71082154778566</v>
      </c>
    </row>
    <row r="35" spans="1:10" x14ac:dyDescent="0.3">
      <c r="A35" s="13" t="s">
        <v>67</v>
      </c>
      <c r="B35" s="14">
        <v>45548</v>
      </c>
      <c r="C35" s="13" t="s">
        <v>38</v>
      </c>
      <c r="D35" s="13" t="s">
        <v>10</v>
      </c>
      <c r="E35" s="13" t="s">
        <v>11</v>
      </c>
      <c r="F35" s="15">
        <v>1276.47</v>
      </c>
      <c r="G35" s="15">
        <v>539.12</v>
      </c>
      <c r="H35" s="13">
        <v>6</v>
      </c>
      <c r="I35" s="18">
        <f t="shared" si="2"/>
        <v>688170.50640000007</v>
      </c>
      <c r="J35" s="16">
        <f t="shared" si="1"/>
        <v>42.235226836510066</v>
      </c>
    </row>
    <row r="36" spans="1:10" x14ac:dyDescent="0.3">
      <c r="A36" s="9" t="s">
        <v>68</v>
      </c>
      <c r="B36" s="10">
        <v>45305</v>
      </c>
      <c r="C36" s="9" t="s">
        <v>24</v>
      </c>
      <c r="D36" s="9" t="s">
        <v>34</v>
      </c>
      <c r="E36" s="9" t="s">
        <v>14</v>
      </c>
      <c r="F36" s="11">
        <v>25549.3</v>
      </c>
      <c r="G36" s="11">
        <v>3911.9</v>
      </c>
      <c r="H36" s="9">
        <v>5</v>
      </c>
      <c r="I36" s="17">
        <f t="shared" si="2"/>
        <v>99946306.670000002</v>
      </c>
      <c r="J36" s="12">
        <f t="shared" si="1"/>
        <v>15.311182693850714</v>
      </c>
    </row>
    <row r="37" spans="1:10" x14ac:dyDescent="0.3">
      <c r="A37" s="13" t="s">
        <v>69</v>
      </c>
      <c r="B37" s="14">
        <v>45343</v>
      </c>
      <c r="C37" s="13" t="s">
        <v>38</v>
      </c>
      <c r="D37" s="13" t="s">
        <v>70</v>
      </c>
      <c r="E37" s="13" t="s">
        <v>26</v>
      </c>
      <c r="F37" s="15">
        <v>44014.090321296506</v>
      </c>
      <c r="G37" s="15">
        <v>6070.91</v>
      </c>
      <c r="H37" s="13">
        <v>3</v>
      </c>
      <c r="I37" s="18">
        <f t="shared" si="2"/>
        <v>267205581.07246217</v>
      </c>
      <c r="J37" s="16">
        <f t="shared" si="1"/>
        <v>13.793105697932715</v>
      </c>
    </row>
    <row r="38" spans="1:10" x14ac:dyDescent="0.3">
      <c r="A38" s="9" t="s">
        <v>71</v>
      </c>
      <c r="B38" s="10">
        <v>45584</v>
      </c>
      <c r="C38" s="9" t="s">
        <v>38</v>
      </c>
      <c r="D38" s="9" t="s">
        <v>13</v>
      </c>
      <c r="E38" s="9" t="s">
        <v>14</v>
      </c>
      <c r="F38" s="11">
        <v>33262.39</v>
      </c>
      <c r="G38" s="11">
        <v>5939.38</v>
      </c>
      <c r="H38" s="9">
        <v>2</v>
      </c>
      <c r="I38" s="17">
        <f t="shared" si="2"/>
        <v>197557973.91819999</v>
      </c>
      <c r="J38" s="12">
        <f t="shared" si="1"/>
        <v>17.856143229635634</v>
      </c>
    </row>
    <row r="39" spans="1:10" x14ac:dyDescent="0.3">
      <c r="A39" s="13" t="s">
        <v>72</v>
      </c>
      <c r="B39" s="14">
        <v>45567</v>
      </c>
      <c r="C39" s="13" t="s">
        <v>38</v>
      </c>
      <c r="D39" s="13" t="s">
        <v>73</v>
      </c>
      <c r="E39" s="13" t="s">
        <v>20</v>
      </c>
      <c r="F39" s="15">
        <v>2983.63</v>
      </c>
      <c r="G39" s="15">
        <v>1151.26</v>
      </c>
      <c r="H39" s="13">
        <v>8</v>
      </c>
      <c r="I39" s="18">
        <f t="shared" si="2"/>
        <v>3434933.8738000002</v>
      </c>
      <c r="J39" s="16">
        <f t="shared" si="1"/>
        <v>38.585883638386797</v>
      </c>
    </row>
    <row r="40" spans="1:10" x14ac:dyDescent="0.3">
      <c r="A40" s="9" t="s">
        <v>74</v>
      </c>
      <c r="B40" s="10">
        <v>45579</v>
      </c>
      <c r="C40" s="9" t="s">
        <v>9</v>
      </c>
      <c r="D40" s="9" t="s">
        <v>42</v>
      </c>
      <c r="E40" s="9" t="s">
        <v>29</v>
      </c>
      <c r="F40" s="11">
        <v>4865.7299999999996</v>
      </c>
      <c r="G40" s="11">
        <v>916.65</v>
      </c>
      <c r="H40" s="9">
        <v>1</v>
      </c>
      <c r="I40" s="17">
        <f t="shared" si="2"/>
        <v>4460171.4044999992</v>
      </c>
      <c r="J40" s="12">
        <f t="shared" si="1"/>
        <v>18.838899815649452</v>
      </c>
    </row>
    <row r="41" spans="1:10" x14ac:dyDescent="0.3">
      <c r="A41" s="13" t="s">
        <v>75</v>
      </c>
      <c r="B41" s="14">
        <v>45611</v>
      </c>
      <c r="C41" s="13" t="s">
        <v>16</v>
      </c>
      <c r="D41" s="13" t="s">
        <v>46</v>
      </c>
      <c r="E41" s="13" t="s">
        <v>11</v>
      </c>
      <c r="F41" s="15">
        <v>1155</v>
      </c>
      <c r="G41" s="15">
        <v>362.01</v>
      </c>
      <c r="H41" s="13">
        <v>10</v>
      </c>
      <c r="I41" s="18">
        <f t="shared" si="2"/>
        <v>418121.55</v>
      </c>
      <c r="J41" s="16">
        <f t="shared" si="1"/>
        <v>31.342857142857145</v>
      </c>
    </row>
    <row r="42" spans="1:10" x14ac:dyDescent="0.3">
      <c r="A42" s="9" t="s">
        <v>76</v>
      </c>
      <c r="B42" s="10">
        <v>45592</v>
      </c>
      <c r="C42" s="9" t="s">
        <v>9</v>
      </c>
      <c r="D42" s="9" t="s">
        <v>10</v>
      </c>
      <c r="E42" s="9" t="s">
        <v>11</v>
      </c>
      <c r="F42" s="11">
        <v>1700.65</v>
      </c>
      <c r="G42" s="11">
        <v>601.88</v>
      </c>
      <c r="H42" s="9">
        <v>5</v>
      </c>
      <c r="I42" s="17">
        <f t="shared" si="2"/>
        <v>1023587.2220000001</v>
      </c>
      <c r="J42" s="12">
        <f t="shared" si="1"/>
        <v>35.391173962896538</v>
      </c>
    </row>
    <row r="43" spans="1:10" x14ac:dyDescent="0.3">
      <c r="A43" s="13" t="s">
        <v>77</v>
      </c>
      <c r="B43" s="14">
        <v>45499</v>
      </c>
      <c r="C43" s="13" t="s">
        <v>24</v>
      </c>
      <c r="D43" s="13" t="s">
        <v>73</v>
      </c>
      <c r="E43" s="13" t="s">
        <v>20</v>
      </c>
      <c r="F43" s="15">
        <v>1445.82</v>
      </c>
      <c r="G43" s="15">
        <v>645.47</v>
      </c>
      <c r="H43" s="13">
        <v>10</v>
      </c>
      <c r="I43" s="18">
        <f t="shared" si="2"/>
        <v>933233.43539999996</v>
      </c>
      <c r="J43" s="16">
        <f t="shared" si="1"/>
        <v>44.643869914650516</v>
      </c>
    </row>
    <row r="44" spans="1:10" x14ac:dyDescent="0.3">
      <c r="A44" s="9" t="s">
        <v>78</v>
      </c>
      <c r="B44" s="10">
        <v>45567</v>
      </c>
      <c r="C44" s="9" t="s">
        <v>9</v>
      </c>
      <c r="D44" s="9" t="s">
        <v>64</v>
      </c>
      <c r="E44" s="9" t="s">
        <v>29</v>
      </c>
      <c r="F44" s="11">
        <v>3721.94</v>
      </c>
      <c r="G44" s="11">
        <v>567.04</v>
      </c>
      <c r="H44" s="9">
        <v>2</v>
      </c>
      <c r="I44" s="17">
        <f t="shared" si="2"/>
        <v>2110488.8575999998</v>
      </c>
      <c r="J44" s="12">
        <f t="shared" si="1"/>
        <v>15.23506558407712</v>
      </c>
    </row>
    <row r="45" spans="1:10" x14ac:dyDescent="0.3">
      <c r="A45" s="13" t="s">
        <v>79</v>
      </c>
      <c r="B45" s="14">
        <v>45360</v>
      </c>
      <c r="C45" s="13" t="s">
        <v>38</v>
      </c>
      <c r="D45" s="13" t="s">
        <v>58</v>
      </c>
      <c r="E45" s="13" t="s">
        <v>29</v>
      </c>
      <c r="F45" s="15">
        <v>9740.8799999999992</v>
      </c>
      <c r="G45" s="15">
        <v>2362.2199999999998</v>
      </c>
      <c r="H45" s="13">
        <v>8</v>
      </c>
      <c r="I45" s="18">
        <f t="shared" si="2"/>
        <v>23010101.553599995</v>
      </c>
      <c r="J45" s="16">
        <f t="shared" si="1"/>
        <v>24.250581056331665</v>
      </c>
    </row>
    <row r="46" spans="1:10" x14ac:dyDescent="0.3">
      <c r="A46" s="9" t="s">
        <v>80</v>
      </c>
      <c r="B46" s="10">
        <v>45616</v>
      </c>
      <c r="C46" s="9" t="s">
        <v>24</v>
      </c>
      <c r="D46" s="9" t="s">
        <v>52</v>
      </c>
      <c r="E46" s="9" t="s">
        <v>11</v>
      </c>
      <c r="F46" s="11">
        <v>1449.2</v>
      </c>
      <c r="G46" s="11">
        <v>617.15</v>
      </c>
      <c r="H46" s="9">
        <v>1</v>
      </c>
      <c r="I46" s="17">
        <f t="shared" si="2"/>
        <v>894373.78</v>
      </c>
      <c r="J46" s="12">
        <f t="shared" si="1"/>
        <v>42.585564449351367</v>
      </c>
    </row>
    <row r="47" spans="1:10" x14ac:dyDescent="0.3">
      <c r="A47" s="13" t="s">
        <v>81</v>
      </c>
      <c r="B47" s="14">
        <v>45620</v>
      </c>
      <c r="C47" s="13" t="s">
        <v>38</v>
      </c>
      <c r="D47" s="13" t="s">
        <v>64</v>
      </c>
      <c r="E47" s="13" t="s">
        <v>29</v>
      </c>
      <c r="F47" s="15">
        <v>14210.08</v>
      </c>
      <c r="G47" s="15">
        <v>1666.86</v>
      </c>
      <c r="H47" s="13">
        <v>5</v>
      </c>
      <c r="I47" s="18">
        <f t="shared" si="2"/>
        <v>23686213.948799998</v>
      </c>
      <c r="J47" s="16">
        <f t="shared" si="1"/>
        <v>11.730123968337967</v>
      </c>
    </row>
    <row r="48" spans="1:10" x14ac:dyDescent="0.3">
      <c r="A48" s="9" t="s">
        <v>82</v>
      </c>
      <c r="B48" s="10">
        <v>45530</v>
      </c>
      <c r="C48" s="9" t="s">
        <v>38</v>
      </c>
      <c r="D48" s="9" t="s">
        <v>52</v>
      </c>
      <c r="E48" s="9" t="s">
        <v>11</v>
      </c>
      <c r="F48" s="11">
        <v>1120.1099999999999</v>
      </c>
      <c r="G48" s="11">
        <v>446.29</v>
      </c>
      <c r="H48" s="9">
        <v>3</v>
      </c>
      <c r="I48" s="17">
        <f t="shared" si="2"/>
        <v>499893.89189999999</v>
      </c>
      <c r="J48" s="12">
        <f t="shared" si="1"/>
        <v>39.843408236691047</v>
      </c>
    </row>
    <row r="49" spans="1:10" x14ac:dyDescent="0.3">
      <c r="A49" s="13" t="s">
        <v>83</v>
      </c>
      <c r="B49" s="14">
        <v>45523</v>
      </c>
      <c r="C49" s="13" t="s">
        <v>24</v>
      </c>
      <c r="D49" s="13" t="s">
        <v>84</v>
      </c>
      <c r="E49" s="13" t="s">
        <v>14</v>
      </c>
      <c r="F49" s="15">
        <v>7240.91</v>
      </c>
      <c r="G49" s="15">
        <v>1108.98</v>
      </c>
      <c r="H49" s="13">
        <v>9</v>
      </c>
      <c r="I49" s="18">
        <f t="shared" si="2"/>
        <v>8030024.3717999998</v>
      </c>
      <c r="J49" s="16">
        <f t="shared" si="1"/>
        <v>15.315478303141456</v>
      </c>
    </row>
    <row r="50" spans="1:10" x14ac:dyDescent="0.3">
      <c r="A50" s="9" t="s">
        <v>85</v>
      </c>
      <c r="B50" s="10">
        <v>45343</v>
      </c>
      <c r="C50" s="9" t="s">
        <v>38</v>
      </c>
      <c r="D50" s="9" t="s">
        <v>56</v>
      </c>
      <c r="E50" s="9" t="s">
        <v>20</v>
      </c>
      <c r="F50" s="11">
        <v>3360.58</v>
      </c>
      <c r="G50" s="11">
        <v>1146.6600000000001</v>
      </c>
      <c r="H50" s="9">
        <v>6</v>
      </c>
      <c r="I50" s="17">
        <f t="shared" si="2"/>
        <v>3853442.6628</v>
      </c>
      <c r="J50" s="12">
        <f t="shared" si="1"/>
        <v>34.120895797749199</v>
      </c>
    </row>
    <row r="51" spans="1:10" x14ac:dyDescent="0.3">
      <c r="A51" s="13" t="s">
        <v>86</v>
      </c>
      <c r="B51" s="14">
        <v>45323</v>
      </c>
      <c r="C51" s="13" t="s">
        <v>16</v>
      </c>
      <c r="D51" s="13" t="s">
        <v>40</v>
      </c>
      <c r="E51" s="13" t="s">
        <v>26</v>
      </c>
      <c r="F51" s="15">
        <v>52971.54</v>
      </c>
      <c r="G51" s="15">
        <v>7434.13</v>
      </c>
      <c r="H51" s="13">
        <v>9</v>
      </c>
      <c r="I51" s="18">
        <f t="shared" si="2"/>
        <v>393797314.6602</v>
      </c>
      <c r="J51" s="16">
        <f t="shared" si="1"/>
        <v>14.03419647606998</v>
      </c>
    </row>
    <row r="52" spans="1:10" x14ac:dyDescent="0.3">
      <c r="A52" s="9" t="s">
        <v>87</v>
      </c>
      <c r="B52" s="10">
        <v>45377</v>
      </c>
      <c r="C52" s="9" t="s">
        <v>24</v>
      </c>
      <c r="D52" s="9" t="s">
        <v>88</v>
      </c>
      <c r="E52" s="9" t="s">
        <v>14</v>
      </c>
      <c r="F52" s="11">
        <v>8783.4599999999991</v>
      </c>
      <c r="G52" s="11">
        <v>1351.35</v>
      </c>
      <c r="H52" s="9">
        <v>5</v>
      </c>
      <c r="I52" s="17">
        <f t="shared" si="2"/>
        <v>11869528.670999998</v>
      </c>
      <c r="J52" s="12">
        <f t="shared" si="1"/>
        <v>15.385167120929566</v>
      </c>
    </row>
    <row r="53" spans="1:10" x14ac:dyDescent="0.3">
      <c r="A53" s="13" t="s">
        <v>89</v>
      </c>
      <c r="B53" s="14">
        <v>45624</v>
      </c>
      <c r="C53" s="13" t="s">
        <v>24</v>
      </c>
      <c r="D53" s="13" t="s">
        <v>19</v>
      </c>
      <c r="E53" s="13" t="s">
        <v>20</v>
      </c>
      <c r="F53" s="15">
        <v>2210.04</v>
      </c>
      <c r="G53" s="15">
        <v>727.47</v>
      </c>
      <c r="H53" s="13">
        <v>8</v>
      </c>
      <c r="I53" s="18">
        <f t="shared" si="2"/>
        <v>1607737.7988</v>
      </c>
      <c r="J53" s="16">
        <f t="shared" si="1"/>
        <v>32.916598794591955</v>
      </c>
    </row>
    <row r="54" spans="1:10" x14ac:dyDescent="0.3">
      <c r="A54" s="9" t="s">
        <v>90</v>
      </c>
      <c r="B54" s="10">
        <v>45614</v>
      </c>
      <c r="C54" s="9" t="s">
        <v>9</v>
      </c>
      <c r="D54" s="9" t="s">
        <v>91</v>
      </c>
      <c r="E54" s="9" t="s">
        <v>11</v>
      </c>
      <c r="F54" s="11">
        <v>919.38</v>
      </c>
      <c r="G54" s="11">
        <v>217.79</v>
      </c>
      <c r="H54" s="9">
        <v>1</v>
      </c>
      <c r="I54" s="17">
        <f t="shared" si="2"/>
        <v>200231.7702</v>
      </c>
      <c r="J54" s="12">
        <f t="shared" si="1"/>
        <v>23.688790271704843</v>
      </c>
    </row>
    <row r="55" spans="1:10" x14ac:dyDescent="0.3">
      <c r="A55" s="13" t="s">
        <v>92</v>
      </c>
      <c r="B55" s="14">
        <v>45629</v>
      </c>
      <c r="C55" s="13" t="s">
        <v>38</v>
      </c>
      <c r="D55" s="13" t="s">
        <v>93</v>
      </c>
      <c r="E55" s="13" t="s">
        <v>20</v>
      </c>
      <c r="F55" s="15">
        <v>3046.68</v>
      </c>
      <c r="G55" s="15">
        <v>1284.02</v>
      </c>
      <c r="H55" s="13">
        <v>1</v>
      </c>
      <c r="I55" s="18">
        <f t="shared" si="2"/>
        <v>3911998.0535999998</v>
      </c>
      <c r="J55" s="16">
        <f t="shared" si="1"/>
        <v>42.144892144892147</v>
      </c>
    </row>
    <row r="56" spans="1:10" x14ac:dyDescent="0.3">
      <c r="A56" s="9" t="s">
        <v>94</v>
      </c>
      <c r="B56" s="10">
        <v>45304</v>
      </c>
      <c r="C56" s="9" t="s">
        <v>24</v>
      </c>
      <c r="D56" s="9" t="s">
        <v>13</v>
      </c>
      <c r="E56" s="9" t="s">
        <v>14</v>
      </c>
      <c r="F56" s="11">
        <v>26394.59</v>
      </c>
      <c r="G56" s="11">
        <v>7001.78</v>
      </c>
      <c r="H56" s="9">
        <v>8</v>
      </c>
      <c r="I56" s="17">
        <f t="shared" si="2"/>
        <v>184809112.37020001</v>
      </c>
      <c r="J56" s="12">
        <f t="shared" si="1"/>
        <v>26.527330032404368</v>
      </c>
    </row>
    <row r="57" spans="1:10" x14ac:dyDescent="0.3">
      <c r="A57" s="13" t="s">
        <v>95</v>
      </c>
      <c r="B57" s="14">
        <v>45481</v>
      </c>
      <c r="C57" s="13" t="s">
        <v>16</v>
      </c>
      <c r="D57" s="13" t="s">
        <v>13</v>
      </c>
      <c r="E57" s="13" t="s">
        <v>14</v>
      </c>
      <c r="F57" s="15">
        <v>34181.07</v>
      </c>
      <c r="G57" s="15">
        <v>8734.32</v>
      </c>
      <c r="H57" s="13">
        <v>10</v>
      </c>
      <c r="I57" s="18">
        <f t="shared" si="2"/>
        <v>298548403.32239997</v>
      </c>
      <c r="J57" s="16">
        <f t="shared" si="1"/>
        <v>25.553091228565989</v>
      </c>
    </row>
    <row r="58" spans="1:10" x14ac:dyDescent="0.3">
      <c r="A58" s="9" t="s">
        <v>96</v>
      </c>
      <c r="B58" s="10">
        <v>45604</v>
      </c>
      <c r="C58" s="9" t="s">
        <v>9</v>
      </c>
      <c r="D58" s="9" t="s">
        <v>25</v>
      </c>
      <c r="E58" s="9" t="s">
        <v>26</v>
      </c>
      <c r="F58" s="11">
        <v>74110.2</v>
      </c>
      <c r="G58" s="11">
        <v>8616.26</v>
      </c>
      <c r="H58" s="9">
        <v>7</v>
      </c>
      <c r="I58" s="17">
        <f t="shared" si="2"/>
        <v>638552751.852</v>
      </c>
      <c r="J58" s="12">
        <f t="shared" si="1"/>
        <v>11.626280862823201</v>
      </c>
    </row>
    <row r="59" spans="1:10" x14ac:dyDescent="0.3">
      <c r="A59" s="13" t="s">
        <v>97</v>
      </c>
      <c r="B59" s="14">
        <v>45495</v>
      </c>
      <c r="C59" s="13" t="s">
        <v>9</v>
      </c>
      <c r="D59" s="13" t="s">
        <v>70</v>
      </c>
      <c r="E59" s="13" t="s">
        <v>26</v>
      </c>
      <c r="F59" s="15">
        <v>59889.94</v>
      </c>
      <c r="G59" s="15">
        <v>9299.06</v>
      </c>
      <c r="H59" s="13">
        <v>2</v>
      </c>
      <c r="I59" s="18">
        <f t="shared" si="2"/>
        <v>556920145.45640004</v>
      </c>
      <c r="J59" s="16">
        <f t="shared" si="1"/>
        <v>15.526914870844752</v>
      </c>
    </row>
    <row r="60" spans="1:10" x14ac:dyDescent="0.3">
      <c r="A60" s="9" t="s">
        <v>98</v>
      </c>
      <c r="B60" s="10">
        <v>45462</v>
      </c>
      <c r="C60" s="9" t="s">
        <v>9</v>
      </c>
      <c r="D60" s="9" t="s">
        <v>99</v>
      </c>
      <c r="E60" s="9" t="s">
        <v>20</v>
      </c>
      <c r="F60" s="11">
        <v>3835.54</v>
      </c>
      <c r="G60" s="11">
        <v>1487.88</v>
      </c>
      <c r="H60" s="9">
        <v>7</v>
      </c>
      <c r="I60" s="17">
        <f t="shared" si="2"/>
        <v>5706823.2552000005</v>
      </c>
      <c r="J60" s="12">
        <f t="shared" si="1"/>
        <v>38.791930210609202</v>
      </c>
    </row>
    <row r="61" spans="1:10" x14ac:dyDescent="0.3">
      <c r="A61" s="13" t="s">
        <v>100</v>
      </c>
      <c r="B61" s="14">
        <v>45453</v>
      </c>
      <c r="C61" s="13" t="s">
        <v>16</v>
      </c>
      <c r="D61" s="13" t="s">
        <v>88</v>
      </c>
      <c r="E61" s="13" t="s">
        <v>14</v>
      </c>
      <c r="F61" s="15">
        <v>13354.01</v>
      </c>
      <c r="G61" s="15">
        <v>2795.9</v>
      </c>
      <c r="H61" s="13">
        <v>5</v>
      </c>
      <c r="I61" s="18">
        <f t="shared" si="2"/>
        <v>37336476.559</v>
      </c>
      <c r="J61" s="16">
        <f t="shared" si="1"/>
        <v>20.936782284871736</v>
      </c>
    </row>
    <row r="62" spans="1:10" x14ac:dyDescent="0.3">
      <c r="A62" s="9" t="s">
        <v>101</v>
      </c>
      <c r="B62" s="10">
        <v>45507</v>
      </c>
      <c r="C62" s="9" t="s">
        <v>24</v>
      </c>
      <c r="D62" s="9" t="s">
        <v>25</v>
      </c>
      <c r="E62" s="9" t="s">
        <v>26</v>
      </c>
      <c r="F62" s="11">
        <v>44137.89</v>
      </c>
      <c r="G62" s="11">
        <v>5448.59</v>
      </c>
      <c r="H62" s="9">
        <v>10</v>
      </c>
      <c r="I62" s="17">
        <f t="shared" si="2"/>
        <v>240489266.0751</v>
      </c>
      <c r="J62" s="12">
        <f t="shared" si="1"/>
        <v>12.344473195252425</v>
      </c>
    </row>
    <row r="63" spans="1:10" x14ac:dyDescent="0.3">
      <c r="A63" s="13" t="s">
        <v>102</v>
      </c>
      <c r="B63" s="14">
        <v>45566</v>
      </c>
      <c r="C63" s="13" t="s">
        <v>24</v>
      </c>
      <c r="D63" s="13" t="s">
        <v>10</v>
      </c>
      <c r="E63" s="13" t="s">
        <v>11</v>
      </c>
      <c r="F63" s="15">
        <v>1193.67</v>
      </c>
      <c r="G63" s="15">
        <v>486.24</v>
      </c>
      <c r="H63" s="13">
        <v>10</v>
      </c>
      <c r="I63" s="18">
        <f t="shared" si="2"/>
        <v>580410.10080000001</v>
      </c>
      <c r="J63" s="16">
        <f t="shared" si="1"/>
        <v>40.734876473397172</v>
      </c>
    </row>
    <row r="64" spans="1:10" x14ac:dyDescent="0.3">
      <c r="A64" s="9" t="s">
        <v>103</v>
      </c>
      <c r="B64" s="10">
        <v>45576</v>
      </c>
      <c r="C64" s="9" t="s">
        <v>24</v>
      </c>
      <c r="D64" s="9" t="s">
        <v>32</v>
      </c>
      <c r="E64" s="9" t="s">
        <v>29</v>
      </c>
      <c r="F64" s="11">
        <v>3112.97</v>
      </c>
      <c r="G64" s="11">
        <v>647.53</v>
      </c>
      <c r="H64" s="9">
        <v>8</v>
      </c>
      <c r="I64" s="17">
        <f t="shared" si="2"/>
        <v>2015741.4640999998</v>
      </c>
      <c r="J64" s="12">
        <f t="shared" si="1"/>
        <v>20.80103566690331</v>
      </c>
    </row>
    <row r="65" spans="1:10" x14ac:dyDescent="0.3">
      <c r="A65" s="13" t="s">
        <v>104</v>
      </c>
      <c r="B65" s="14">
        <v>45504</v>
      </c>
      <c r="C65" s="13" t="s">
        <v>38</v>
      </c>
      <c r="D65" s="13" t="s">
        <v>19</v>
      </c>
      <c r="E65" s="13" t="s">
        <v>20</v>
      </c>
      <c r="F65" s="15">
        <v>2596.66</v>
      </c>
      <c r="G65" s="15">
        <v>689.59</v>
      </c>
      <c r="H65" s="13">
        <v>7</v>
      </c>
      <c r="I65" s="18">
        <f t="shared" si="2"/>
        <v>1790630.7693999999</v>
      </c>
      <c r="J65" s="16">
        <f t="shared" si="1"/>
        <v>26.556807591290355</v>
      </c>
    </row>
    <row r="66" spans="1:10" x14ac:dyDescent="0.3">
      <c r="A66" s="9" t="s">
        <v>105</v>
      </c>
      <c r="B66" s="10">
        <v>45596</v>
      </c>
      <c r="C66" s="9" t="s">
        <v>16</v>
      </c>
      <c r="D66" s="9" t="s">
        <v>10</v>
      </c>
      <c r="E66" s="9" t="s">
        <v>11</v>
      </c>
      <c r="F66" s="11">
        <v>1043.6600000000001</v>
      </c>
      <c r="G66" s="11">
        <v>288.07</v>
      </c>
      <c r="H66" s="9">
        <v>7</v>
      </c>
      <c r="I66" s="17">
        <f t="shared" ref="I66:I97" si="3">F66*G66</f>
        <v>300647.13620000001</v>
      </c>
      <c r="J66" s="12">
        <f t="shared" si="1"/>
        <v>27.601901002242109</v>
      </c>
    </row>
    <row r="67" spans="1:10" x14ac:dyDescent="0.3">
      <c r="A67" s="13" t="s">
        <v>106</v>
      </c>
      <c r="B67" s="14">
        <v>45590</v>
      </c>
      <c r="C67" s="13" t="s">
        <v>9</v>
      </c>
      <c r="D67" s="13" t="s">
        <v>13</v>
      </c>
      <c r="E67" s="13" t="s">
        <v>14</v>
      </c>
      <c r="F67" s="15">
        <v>27326.66</v>
      </c>
      <c r="G67" s="15">
        <v>5982.78</v>
      </c>
      <c r="H67" s="13">
        <v>1</v>
      </c>
      <c r="I67" s="18">
        <f t="shared" si="3"/>
        <v>163489394.91479999</v>
      </c>
      <c r="J67" s="16">
        <f t="shared" ref="J67:J130" si="4">IF(F67=0,0,(G67/F67)*100)</f>
        <v>21.893564745929435</v>
      </c>
    </row>
    <row r="68" spans="1:10" x14ac:dyDescent="0.3">
      <c r="A68" s="9" t="s">
        <v>107</v>
      </c>
      <c r="B68" s="10">
        <v>45587</v>
      </c>
      <c r="C68" s="9" t="s">
        <v>9</v>
      </c>
      <c r="D68" s="9" t="s">
        <v>40</v>
      </c>
      <c r="E68" s="9" t="s">
        <v>26</v>
      </c>
      <c r="F68" s="11">
        <v>57982.12</v>
      </c>
      <c r="G68" s="11">
        <v>10017.469999999999</v>
      </c>
      <c r="H68" s="9">
        <v>2</v>
      </c>
      <c r="I68" s="17">
        <f t="shared" si="3"/>
        <v>580834147.63639998</v>
      </c>
      <c r="J68" s="12">
        <f t="shared" si="4"/>
        <v>17.276826028437732</v>
      </c>
    </row>
    <row r="69" spans="1:10" x14ac:dyDescent="0.3">
      <c r="A69" s="13" t="s">
        <v>108</v>
      </c>
      <c r="B69" s="14">
        <v>45308</v>
      </c>
      <c r="C69" s="13" t="s">
        <v>16</v>
      </c>
      <c r="D69" s="13" t="s">
        <v>17</v>
      </c>
      <c r="E69" s="13" t="s">
        <v>11</v>
      </c>
      <c r="F69" s="15">
        <v>319.14</v>
      </c>
      <c r="G69" s="15">
        <v>136.68</v>
      </c>
      <c r="H69" s="13">
        <v>10</v>
      </c>
      <c r="I69" s="18">
        <f t="shared" si="3"/>
        <v>43620.055200000003</v>
      </c>
      <c r="J69" s="16">
        <f t="shared" si="4"/>
        <v>42.827599172776843</v>
      </c>
    </row>
    <row r="70" spans="1:10" x14ac:dyDescent="0.3">
      <c r="A70" s="9" t="s">
        <v>109</v>
      </c>
      <c r="B70" s="10">
        <v>45542</v>
      </c>
      <c r="C70" s="9" t="s">
        <v>16</v>
      </c>
      <c r="D70" s="9" t="s">
        <v>40</v>
      </c>
      <c r="E70" s="9" t="s">
        <v>26</v>
      </c>
      <c r="F70" s="11">
        <v>56228.49</v>
      </c>
      <c r="G70" s="11">
        <v>10094.24</v>
      </c>
      <c r="H70" s="9">
        <v>1</v>
      </c>
      <c r="I70" s="17">
        <f t="shared" si="3"/>
        <v>567583872.89759994</v>
      </c>
      <c r="J70" s="12">
        <f t="shared" si="4"/>
        <v>17.95218046936704</v>
      </c>
    </row>
    <row r="71" spans="1:10" x14ac:dyDescent="0.3">
      <c r="A71" s="13" t="s">
        <v>110</v>
      </c>
      <c r="B71" s="14">
        <v>45438</v>
      </c>
      <c r="C71" s="13" t="s">
        <v>9</v>
      </c>
      <c r="D71" s="13" t="s">
        <v>64</v>
      </c>
      <c r="E71" s="13" t="s">
        <v>29</v>
      </c>
      <c r="F71" s="15">
        <v>4847.0600000000004</v>
      </c>
      <c r="G71" s="15">
        <v>622.94000000000005</v>
      </c>
      <c r="H71" s="13">
        <v>5</v>
      </c>
      <c r="I71" s="18">
        <f t="shared" si="3"/>
        <v>3019427.5564000006</v>
      </c>
      <c r="J71" s="16">
        <f t="shared" si="4"/>
        <v>12.851914356331468</v>
      </c>
    </row>
    <row r="72" spans="1:10" x14ac:dyDescent="0.3">
      <c r="A72" s="9" t="s">
        <v>111</v>
      </c>
      <c r="B72" s="10">
        <v>45388</v>
      </c>
      <c r="C72" s="9" t="s">
        <v>9</v>
      </c>
      <c r="D72" s="9" t="s">
        <v>42</v>
      </c>
      <c r="E72" s="9" t="s">
        <v>29</v>
      </c>
      <c r="F72" s="11">
        <v>5036.3100000000004</v>
      </c>
      <c r="G72" s="11">
        <v>1089.51</v>
      </c>
      <c r="H72" s="9">
        <v>1</v>
      </c>
      <c r="I72" s="17">
        <f t="shared" si="3"/>
        <v>5487110.1081000008</v>
      </c>
      <c r="J72" s="12">
        <f t="shared" si="4"/>
        <v>21.633100424715714</v>
      </c>
    </row>
    <row r="73" spans="1:10" x14ac:dyDescent="0.3">
      <c r="A73" s="13" t="s">
        <v>112</v>
      </c>
      <c r="B73" s="14">
        <v>45356</v>
      </c>
      <c r="C73" s="13" t="s">
        <v>9</v>
      </c>
      <c r="D73" s="13" t="s">
        <v>46</v>
      </c>
      <c r="E73" s="13" t="s">
        <v>11</v>
      </c>
      <c r="F73" s="15">
        <v>497.23</v>
      </c>
      <c r="G73" s="15">
        <v>165.04</v>
      </c>
      <c r="H73" s="13">
        <v>10</v>
      </c>
      <c r="I73" s="18">
        <f t="shared" si="3"/>
        <v>82062.839200000002</v>
      </c>
      <c r="J73" s="16">
        <f t="shared" si="4"/>
        <v>33.191883031997257</v>
      </c>
    </row>
    <row r="74" spans="1:10" x14ac:dyDescent="0.3">
      <c r="A74" s="9" t="s">
        <v>113</v>
      </c>
      <c r="B74" s="10">
        <v>45645</v>
      </c>
      <c r="C74" s="9" t="s">
        <v>16</v>
      </c>
      <c r="D74" s="9" t="s">
        <v>13</v>
      </c>
      <c r="E74" s="9" t="s">
        <v>14</v>
      </c>
      <c r="F74" s="11">
        <v>20564.36</v>
      </c>
      <c r="G74" s="11">
        <v>3812.98</v>
      </c>
      <c r="H74" s="9">
        <v>6</v>
      </c>
      <c r="I74" s="17">
        <f t="shared" si="3"/>
        <v>78411493.392800003</v>
      </c>
      <c r="J74" s="12">
        <f t="shared" si="4"/>
        <v>18.541690575344916</v>
      </c>
    </row>
    <row r="75" spans="1:10" x14ac:dyDescent="0.3">
      <c r="A75" s="13" t="s">
        <v>114</v>
      </c>
      <c r="B75" s="14">
        <v>45437</v>
      </c>
      <c r="C75" s="13" t="s">
        <v>16</v>
      </c>
      <c r="D75" s="13" t="s">
        <v>49</v>
      </c>
      <c r="E75" s="13" t="s">
        <v>26</v>
      </c>
      <c r="F75" s="15">
        <v>42569.397344319652</v>
      </c>
      <c r="G75" s="15">
        <v>6281.76</v>
      </c>
      <c r="H75" s="13">
        <v>4</v>
      </c>
      <c r="I75" s="18">
        <f t="shared" si="3"/>
        <v>267410737.46165341</v>
      </c>
      <c r="J75" s="16">
        <f t="shared" si="4"/>
        <v>14.756516163925026</v>
      </c>
    </row>
    <row r="76" spans="1:10" x14ac:dyDescent="0.3">
      <c r="A76" s="9" t="s">
        <v>115</v>
      </c>
      <c r="B76" s="10">
        <v>45558</v>
      </c>
      <c r="C76" s="9" t="s">
        <v>9</v>
      </c>
      <c r="D76" s="9" t="s">
        <v>56</v>
      </c>
      <c r="E76" s="9" t="s">
        <v>20</v>
      </c>
      <c r="F76" s="11">
        <v>814.88</v>
      </c>
      <c r="G76" s="11">
        <v>339.04</v>
      </c>
      <c r="H76" s="9">
        <v>6</v>
      </c>
      <c r="I76" s="17">
        <f t="shared" si="3"/>
        <v>276276.91519999999</v>
      </c>
      <c r="J76" s="12">
        <f t="shared" si="4"/>
        <v>41.606126055370119</v>
      </c>
    </row>
    <row r="77" spans="1:10" x14ac:dyDescent="0.3">
      <c r="A77" s="13" t="s">
        <v>116</v>
      </c>
      <c r="B77" s="14">
        <v>45405</v>
      </c>
      <c r="C77" s="13" t="s">
        <v>9</v>
      </c>
      <c r="D77" s="13" t="s">
        <v>17</v>
      </c>
      <c r="E77" s="13" t="s">
        <v>11</v>
      </c>
      <c r="F77" s="15">
        <v>749.34</v>
      </c>
      <c r="G77" s="15">
        <v>298.86</v>
      </c>
      <c r="H77" s="13">
        <v>4</v>
      </c>
      <c r="I77" s="18">
        <f t="shared" si="3"/>
        <v>223947.75240000003</v>
      </c>
      <c r="J77" s="16">
        <f t="shared" si="4"/>
        <v>39.883097125470414</v>
      </c>
    </row>
    <row r="78" spans="1:10" x14ac:dyDescent="0.3">
      <c r="A78" s="9" t="s">
        <v>117</v>
      </c>
      <c r="B78" s="10">
        <v>45439</v>
      </c>
      <c r="C78" s="9" t="s">
        <v>9</v>
      </c>
      <c r="D78" s="9" t="s">
        <v>25</v>
      </c>
      <c r="E78" s="9" t="s">
        <v>26</v>
      </c>
      <c r="F78" s="11">
        <v>76440.320000000007</v>
      </c>
      <c r="G78" s="11">
        <v>15174.79</v>
      </c>
      <c r="H78" s="9">
        <v>5</v>
      </c>
      <c r="I78" s="17">
        <f t="shared" si="3"/>
        <v>1159965803.5328002</v>
      </c>
      <c r="J78" s="12">
        <f t="shared" si="4"/>
        <v>19.851813807163548</v>
      </c>
    </row>
    <row r="79" spans="1:10" x14ac:dyDescent="0.3">
      <c r="A79" s="13" t="s">
        <v>118</v>
      </c>
      <c r="B79" s="14">
        <v>45591</v>
      </c>
      <c r="C79" s="13" t="s">
        <v>24</v>
      </c>
      <c r="D79" s="13" t="s">
        <v>42</v>
      </c>
      <c r="E79" s="13" t="s">
        <v>29</v>
      </c>
      <c r="F79" s="15">
        <v>8200.74</v>
      </c>
      <c r="G79" s="15">
        <v>1979.75</v>
      </c>
      <c r="H79" s="13">
        <v>5</v>
      </c>
      <c r="I79" s="18">
        <f t="shared" si="3"/>
        <v>16235415.014999999</v>
      </c>
      <c r="J79" s="16">
        <f t="shared" si="4"/>
        <v>24.14111409458171</v>
      </c>
    </row>
    <row r="80" spans="1:10" x14ac:dyDescent="0.3">
      <c r="A80" s="9" t="s">
        <v>119</v>
      </c>
      <c r="B80" s="10">
        <v>45400</v>
      </c>
      <c r="C80" s="9" t="s">
        <v>38</v>
      </c>
      <c r="D80" s="9" t="s">
        <v>91</v>
      </c>
      <c r="E80" s="9" t="s">
        <v>11</v>
      </c>
      <c r="F80" s="11">
        <v>457.17</v>
      </c>
      <c r="G80" s="11">
        <v>107.39</v>
      </c>
      <c r="H80" s="9">
        <v>9</v>
      </c>
      <c r="I80" s="17">
        <f t="shared" si="3"/>
        <v>49095.486300000004</v>
      </c>
      <c r="J80" s="12">
        <f t="shared" si="4"/>
        <v>23.490167771288579</v>
      </c>
    </row>
    <row r="81" spans="1:10" x14ac:dyDescent="0.3">
      <c r="A81" s="13" t="s">
        <v>120</v>
      </c>
      <c r="B81" s="14">
        <v>45559</v>
      </c>
      <c r="C81" s="13" t="s">
        <v>38</v>
      </c>
      <c r="D81" s="13" t="s">
        <v>91</v>
      </c>
      <c r="E81" s="13" t="s">
        <v>11</v>
      </c>
      <c r="F81" s="15">
        <v>735.24</v>
      </c>
      <c r="G81" s="15">
        <v>255.22</v>
      </c>
      <c r="H81" s="13">
        <v>7</v>
      </c>
      <c r="I81" s="18">
        <f t="shared" si="3"/>
        <v>187647.9528</v>
      </c>
      <c r="J81" s="16">
        <f t="shared" si="4"/>
        <v>34.71247483814809</v>
      </c>
    </row>
    <row r="82" spans="1:10" x14ac:dyDescent="0.3">
      <c r="A82" s="9" t="s">
        <v>121</v>
      </c>
      <c r="B82" s="10">
        <v>45522</v>
      </c>
      <c r="C82" s="9" t="s">
        <v>38</v>
      </c>
      <c r="D82" s="9" t="s">
        <v>93</v>
      </c>
      <c r="E82" s="9" t="s">
        <v>20</v>
      </c>
      <c r="F82" s="11">
        <v>1541.64</v>
      </c>
      <c r="G82" s="11">
        <v>657.88</v>
      </c>
      <c r="H82" s="9">
        <v>8</v>
      </c>
      <c r="I82" s="17">
        <f t="shared" si="3"/>
        <v>1014214.1232</v>
      </c>
      <c r="J82" s="12">
        <f t="shared" si="4"/>
        <v>42.674035442775221</v>
      </c>
    </row>
    <row r="83" spans="1:10" x14ac:dyDescent="0.3">
      <c r="A83" s="13" t="s">
        <v>122</v>
      </c>
      <c r="B83" s="14">
        <v>45399</v>
      </c>
      <c r="C83" s="13" t="s">
        <v>16</v>
      </c>
      <c r="D83" s="13" t="s">
        <v>70</v>
      </c>
      <c r="E83" s="13" t="s">
        <v>26</v>
      </c>
      <c r="F83" s="15">
        <v>56273.59</v>
      </c>
      <c r="G83" s="15">
        <v>8108.84</v>
      </c>
      <c r="H83" s="13">
        <v>4</v>
      </c>
      <c r="I83" s="18">
        <f t="shared" si="3"/>
        <v>456313537.53560001</v>
      </c>
      <c r="J83" s="16">
        <f t="shared" si="4"/>
        <v>14.409672459141138</v>
      </c>
    </row>
    <row r="84" spans="1:10" x14ac:dyDescent="0.3">
      <c r="A84" s="9" t="s">
        <v>123</v>
      </c>
      <c r="B84" s="10">
        <v>45589</v>
      </c>
      <c r="C84" s="9" t="s">
        <v>16</v>
      </c>
      <c r="D84" s="9" t="s">
        <v>40</v>
      </c>
      <c r="E84" s="9" t="s">
        <v>26</v>
      </c>
      <c r="F84" s="11">
        <v>53777.13</v>
      </c>
      <c r="G84" s="11">
        <v>6532.98</v>
      </c>
      <c r="H84" s="9">
        <v>6</v>
      </c>
      <c r="I84" s="17">
        <f t="shared" si="3"/>
        <v>351324914.74739999</v>
      </c>
      <c r="J84" s="12">
        <f t="shared" si="4"/>
        <v>12.148249636973933</v>
      </c>
    </row>
    <row r="85" spans="1:10" x14ac:dyDescent="0.3">
      <c r="A85" s="13" t="s">
        <v>124</v>
      </c>
      <c r="B85" s="14">
        <v>45507</v>
      </c>
      <c r="C85" s="13" t="s">
        <v>16</v>
      </c>
      <c r="D85" s="13" t="s">
        <v>25</v>
      </c>
      <c r="E85" s="13" t="s">
        <v>26</v>
      </c>
      <c r="F85" s="15">
        <v>16259.91</v>
      </c>
      <c r="G85" s="15">
        <v>2353.3000000000002</v>
      </c>
      <c r="H85" s="13">
        <v>6</v>
      </c>
      <c r="I85" s="18">
        <f t="shared" si="3"/>
        <v>38264446.203000002</v>
      </c>
      <c r="J85" s="16">
        <f t="shared" si="4"/>
        <v>14.473019838363191</v>
      </c>
    </row>
    <row r="86" spans="1:10" x14ac:dyDescent="0.3">
      <c r="A86" s="9" t="s">
        <v>125</v>
      </c>
      <c r="B86" s="10">
        <v>45542</v>
      </c>
      <c r="C86" s="9" t="s">
        <v>24</v>
      </c>
      <c r="D86" s="9" t="s">
        <v>44</v>
      </c>
      <c r="E86" s="9" t="s">
        <v>26</v>
      </c>
      <c r="F86" s="11">
        <v>72116.92</v>
      </c>
      <c r="G86" s="11">
        <v>12966.61</v>
      </c>
      <c r="H86" s="9">
        <v>5</v>
      </c>
      <c r="I86" s="17">
        <f t="shared" si="3"/>
        <v>935111976.04120004</v>
      </c>
      <c r="J86" s="12">
        <f t="shared" si="4"/>
        <v>17.979983060840649</v>
      </c>
    </row>
    <row r="87" spans="1:10" x14ac:dyDescent="0.3">
      <c r="A87" s="13" t="s">
        <v>126</v>
      </c>
      <c r="B87" s="14">
        <v>45368</v>
      </c>
      <c r="C87" s="13" t="s">
        <v>16</v>
      </c>
      <c r="D87" s="13" t="s">
        <v>49</v>
      </c>
      <c r="E87" s="13" t="s">
        <v>26</v>
      </c>
      <c r="F87" s="15">
        <v>22699.35</v>
      </c>
      <c r="G87" s="15">
        <v>3898.23</v>
      </c>
      <c r="H87" s="13">
        <v>10</v>
      </c>
      <c r="I87" s="18">
        <f t="shared" si="3"/>
        <v>88487287.1505</v>
      </c>
      <c r="J87" s="16">
        <f t="shared" si="4"/>
        <v>17.173311130054387</v>
      </c>
    </row>
    <row r="88" spans="1:10" x14ac:dyDescent="0.3">
      <c r="A88" s="9" t="s">
        <v>127</v>
      </c>
      <c r="B88" s="10">
        <v>45304</v>
      </c>
      <c r="C88" s="9" t="s">
        <v>16</v>
      </c>
      <c r="D88" s="9" t="s">
        <v>84</v>
      </c>
      <c r="E88" s="9" t="s">
        <v>14</v>
      </c>
      <c r="F88" s="11">
        <v>9883.83</v>
      </c>
      <c r="G88" s="11">
        <v>1634.53</v>
      </c>
      <c r="H88" s="9">
        <v>9</v>
      </c>
      <c r="I88" s="17">
        <f t="shared" si="3"/>
        <v>16155416.649900001</v>
      </c>
      <c r="J88" s="12">
        <f t="shared" si="4"/>
        <v>16.537415151818678</v>
      </c>
    </row>
    <row r="89" spans="1:10" x14ac:dyDescent="0.3">
      <c r="A89" s="13" t="s">
        <v>128</v>
      </c>
      <c r="B89" s="14">
        <v>45627</v>
      </c>
      <c r="C89" s="13" t="s">
        <v>9</v>
      </c>
      <c r="D89" s="13" t="s">
        <v>25</v>
      </c>
      <c r="E89" s="13" t="s">
        <v>26</v>
      </c>
      <c r="F89" s="15">
        <v>65799.14</v>
      </c>
      <c r="G89" s="15">
        <v>7356.52</v>
      </c>
      <c r="H89" s="13">
        <v>10</v>
      </c>
      <c r="I89" s="18">
        <f t="shared" si="3"/>
        <v>484052689.39280003</v>
      </c>
      <c r="J89" s="16">
        <f t="shared" si="4"/>
        <v>11.180267705626548</v>
      </c>
    </row>
    <row r="90" spans="1:10" x14ac:dyDescent="0.3">
      <c r="A90" s="9" t="s">
        <v>129</v>
      </c>
      <c r="B90" s="10">
        <v>45349</v>
      </c>
      <c r="C90" s="9" t="s">
        <v>24</v>
      </c>
      <c r="D90" s="9" t="s">
        <v>34</v>
      </c>
      <c r="E90" s="9" t="s">
        <v>14</v>
      </c>
      <c r="F90" s="11">
        <v>6260.98</v>
      </c>
      <c r="G90" s="11">
        <v>1285.9000000000001</v>
      </c>
      <c r="H90" s="9">
        <v>9</v>
      </c>
      <c r="I90" s="17">
        <f t="shared" si="3"/>
        <v>8050994.182</v>
      </c>
      <c r="J90" s="12">
        <f t="shared" si="4"/>
        <v>20.538318282441409</v>
      </c>
    </row>
    <row r="91" spans="1:10" x14ac:dyDescent="0.3">
      <c r="A91" s="13" t="s">
        <v>130</v>
      </c>
      <c r="B91" s="14">
        <v>45621</v>
      </c>
      <c r="C91" s="13" t="s">
        <v>24</v>
      </c>
      <c r="D91" s="13" t="s">
        <v>25</v>
      </c>
      <c r="E91" s="13" t="s">
        <v>26</v>
      </c>
      <c r="F91" s="15">
        <v>70074.41</v>
      </c>
      <c r="G91" s="15">
        <v>9190.4599999999991</v>
      </c>
      <c r="H91" s="13">
        <v>2</v>
      </c>
      <c r="I91" s="18">
        <f t="shared" si="3"/>
        <v>644016062.1286</v>
      </c>
      <c r="J91" s="16">
        <f t="shared" si="4"/>
        <v>13.115287021324901</v>
      </c>
    </row>
    <row r="92" spans="1:10" x14ac:dyDescent="0.3">
      <c r="A92" s="9" t="s">
        <v>131</v>
      </c>
      <c r="B92" s="10">
        <v>45654</v>
      </c>
      <c r="C92" s="9" t="s">
        <v>9</v>
      </c>
      <c r="D92" s="9" t="s">
        <v>93</v>
      </c>
      <c r="E92" s="9" t="s">
        <v>20</v>
      </c>
      <c r="F92" s="11">
        <v>4884.33</v>
      </c>
      <c r="G92" s="11">
        <v>1896.78</v>
      </c>
      <c r="H92" s="9">
        <v>3</v>
      </c>
      <c r="I92" s="17">
        <f t="shared" si="3"/>
        <v>9264499.4573999997</v>
      </c>
      <c r="J92" s="12">
        <f t="shared" si="4"/>
        <v>38.833985418675645</v>
      </c>
    </row>
    <row r="93" spans="1:10" x14ac:dyDescent="0.3">
      <c r="A93" s="13" t="s">
        <v>132</v>
      </c>
      <c r="B93" s="14">
        <v>45583</v>
      </c>
      <c r="C93" s="13" t="s">
        <v>24</v>
      </c>
      <c r="D93" s="13" t="s">
        <v>28</v>
      </c>
      <c r="E93" s="13" t="s">
        <v>29</v>
      </c>
      <c r="F93" s="15">
        <v>14318.67</v>
      </c>
      <c r="G93" s="15">
        <v>1878.15</v>
      </c>
      <c r="H93" s="13">
        <v>4</v>
      </c>
      <c r="I93" s="18">
        <f t="shared" si="3"/>
        <v>26892610.0605</v>
      </c>
      <c r="J93" s="16">
        <f t="shared" si="4"/>
        <v>13.116790875130164</v>
      </c>
    </row>
    <row r="94" spans="1:10" x14ac:dyDescent="0.3">
      <c r="A94" s="9" t="s">
        <v>133</v>
      </c>
      <c r="B94" s="10">
        <v>45327</v>
      </c>
      <c r="C94" s="9" t="s">
        <v>9</v>
      </c>
      <c r="D94" s="9" t="s">
        <v>32</v>
      </c>
      <c r="E94" s="9" t="s">
        <v>29</v>
      </c>
      <c r="F94" s="11">
        <v>12569.69</v>
      </c>
      <c r="G94" s="11">
        <v>1696.28</v>
      </c>
      <c r="H94" s="9">
        <v>3</v>
      </c>
      <c r="I94" s="17">
        <f t="shared" si="3"/>
        <v>21321713.753200002</v>
      </c>
      <c r="J94" s="12">
        <f t="shared" si="4"/>
        <v>13.495002661163479</v>
      </c>
    </row>
    <row r="95" spans="1:10" x14ac:dyDescent="0.3">
      <c r="A95" s="13" t="s">
        <v>134</v>
      </c>
      <c r="B95" s="14">
        <v>45618</v>
      </c>
      <c r="C95" s="13" t="s">
        <v>16</v>
      </c>
      <c r="D95" s="13" t="s">
        <v>49</v>
      </c>
      <c r="E95" s="13" t="s">
        <v>26</v>
      </c>
      <c r="F95" s="15">
        <v>45646</v>
      </c>
      <c r="G95" s="15">
        <v>7045.26</v>
      </c>
      <c r="H95" s="13">
        <v>9</v>
      </c>
      <c r="I95" s="18">
        <f t="shared" si="3"/>
        <v>321587937.96000004</v>
      </c>
      <c r="J95" s="16">
        <f t="shared" si="4"/>
        <v>15.434561626429479</v>
      </c>
    </row>
    <row r="96" spans="1:10" x14ac:dyDescent="0.3">
      <c r="A96" s="9" t="s">
        <v>135</v>
      </c>
      <c r="B96" s="10">
        <v>45353</v>
      </c>
      <c r="C96" s="9" t="s">
        <v>9</v>
      </c>
      <c r="D96" s="9" t="s">
        <v>58</v>
      </c>
      <c r="E96" s="9" t="s">
        <v>29</v>
      </c>
      <c r="F96" s="11">
        <v>2516.64</v>
      </c>
      <c r="G96" s="11">
        <v>282.61</v>
      </c>
      <c r="H96" s="9">
        <v>10</v>
      </c>
      <c r="I96" s="17">
        <f t="shared" si="3"/>
        <v>711227.63040000002</v>
      </c>
      <c r="J96" s="12">
        <f t="shared" si="4"/>
        <v>11.229655413567297</v>
      </c>
    </row>
    <row r="97" spans="1:10" x14ac:dyDescent="0.3">
      <c r="A97" s="13" t="s">
        <v>136</v>
      </c>
      <c r="B97" s="14">
        <v>45597</v>
      </c>
      <c r="C97" s="13" t="s">
        <v>16</v>
      </c>
      <c r="D97" s="13" t="s">
        <v>49</v>
      </c>
      <c r="E97" s="13" t="s">
        <v>26</v>
      </c>
      <c r="F97" s="15">
        <v>34256.019999999997</v>
      </c>
      <c r="G97" s="15">
        <v>4223.96</v>
      </c>
      <c r="H97" s="13">
        <v>5</v>
      </c>
      <c r="I97" s="18">
        <f t="shared" si="3"/>
        <v>144696058.2392</v>
      </c>
      <c r="J97" s="16">
        <f t="shared" si="4"/>
        <v>12.330562628116169</v>
      </c>
    </row>
    <row r="98" spans="1:10" x14ac:dyDescent="0.3">
      <c r="A98" s="9" t="s">
        <v>137</v>
      </c>
      <c r="B98" s="10">
        <v>45379</v>
      </c>
      <c r="C98" s="9" t="s">
        <v>9</v>
      </c>
      <c r="D98" s="9" t="s">
        <v>70</v>
      </c>
      <c r="E98" s="9" t="s">
        <v>26</v>
      </c>
      <c r="F98" s="11">
        <v>71604.570000000007</v>
      </c>
      <c r="G98" s="11">
        <v>11053.26</v>
      </c>
      <c r="H98" s="9">
        <v>4</v>
      </c>
      <c r="I98" s="17">
        <f t="shared" ref="I98:I129" si="5">F98*G98</f>
        <v>791463929.39820004</v>
      </c>
      <c r="J98" s="12">
        <f t="shared" si="4"/>
        <v>15.436528702008822</v>
      </c>
    </row>
    <row r="99" spans="1:10" x14ac:dyDescent="0.3">
      <c r="A99" s="13" t="s">
        <v>138</v>
      </c>
      <c r="B99" s="14">
        <v>45642</v>
      </c>
      <c r="C99" s="13" t="s">
        <v>24</v>
      </c>
      <c r="D99" s="13" t="s">
        <v>28</v>
      </c>
      <c r="E99" s="13" t="s">
        <v>29</v>
      </c>
      <c r="F99" s="15">
        <v>6513.65</v>
      </c>
      <c r="G99" s="15">
        <v>1069.9100000000001</v>
      </c>
      <c r="H99" s="13">
        <v>6</v>
      </c>
      <c r="I99" s="18">
        <f t="shared" si="5"/>
        <v>6969019.2714999998</v>
      </c>
      <c r="J99" s="16">
        <f t="shared" si="4"/>
        <v>16.425659960237347</v>
      </c>
    </row>
    <row r="100" spans="1:10" x14ac:dyDescent="0.3">
      <c r="A100" s="9" t="s">
        <v>139</v>
      </c>
      <c r="B100" s="10">
        <v>45649</v>
      </c>
      <c r="C100" s="9" t="s">
        <v>38</v>
      </c>
      <c r="D100" s="9" t="s">
        <v>73</v>
      </c>
      <c r="E100" s="9" t="s">
        <v>20</v>
      </c>
      <c r="F100" s="11">
        <v>1199.6600000000001</v>
      </c>
      <c r="G100" s="11">
        <v>587</v>
      </c>
      <c r="H100" s="9">
        <v>6</v>
      </c>
      <c r="I100" s="17">
        <f t="shared" si="5"/>
        <v>704200.42</v>
      </c>
      <c r="J100" s="12">
        <f t="shared" si="4"/>
        <v>48.930530316923125</v>
      </c>
    </row>
    <row r="101" spans="1:10" x14ac:dyDescent="0.3">
      <c r="A101" s="9" t="s">
        <v>140</v>
      </c>
      <c r="B101" s="10">
        <v>45458</v>
      </c>
      <c r="C101" s="9" t="s">
        <v>9</v>
      </c>
      <c r="D101" s="9" t="s">
        <v>52</v>
      </c>
      <c r="E101" s="9" t="s">
        <v>11</v>
      </c>
      <c r="F101" s="11">
        <v>838.68</v>
      </c>
      <c r="G101" s="11">
        <v>221.9</v>
      </c>
      <c r="H101" s="9">
        <v>5</v>
      </c>
      <c r="I101" s="17">
        <f t="shared" si="5"/>
        <v>186103.092</v>
      </c>
      <c r="J101" s="12">
        <f t="shared" si="4"/>
        <v>26.4582439070921</v>
      </c>
    </row>
    <row r="102" spans="1:10" x14ac:dyDescent="0.3">
      <c r="A102" s="13" t="s">
        <v>141</v>
      </c>
      <c r="B102" s="14">
        <v>45573</v>
      </c>
      <c r="C102" s="13" t="s">
        <v>16</v>
      </c>
      <c r="D102" s="13" t="s">
        <v>56</v>
      </c>
      <c r="E102" s="13" t="s">
        <v>20</v>
      </c>
      <c r="F102" s="15">
        <v>1486.8994180892259</v>
      </c>
      <c r="G102" s="15">
        <v>537.83000000000004</v>
      </c>
      <c r="H102" s="13">
        <v>2</v>
      </c>
      <c r="I102" s="18">
        <f t="shared" si="5"/>
        <v>799699.11403092847</v>
      </c>
      <c r="J102" s="16">
        <f t="shared" si="4"/>
        <v>36.171242886835664</v>
      </c>
    </row>
    <row r="103" spans="1:10" x14ac:dyDescent="0.3">
      <c r="A103" s="9" t="s">
        <v>142</v>
      </c>
      <c r="B103" s="10">
        <v>45551</v>
      </c>
      <c r="C103" s="9" t="s">
        <v>16</v>
      </c>
      <c r="D103" s="9" t="s">
        <v>25</v>
      </c>
      <c r="E103" s="9" t="s">
        <v>26</v>
      </c>
      <c r="F103" s="11">
        <v>68451.509999999995</v>
      </c>
      <c r="G103" s="11">
        <v>6343.04</v>
      </c>
      <c r="H103" s="9">
        <v>6</v>
      </c>
      <c r="I103" s="17">
        <f t="shared" si="5"/>
        <v>434190665.99039996</v>
      </c>
      <c r="J103" s="12">
        <f t="shared" si="4"/>
        <v>9.2664719887114266</v>
      </c>
    </row>
    <row r="104" spans="1:10" x14ac:dyDescent="0.3">
      <c r="A104" s="13" t="s">
        <v>143</v>
      </c>
      <c r="B104" s="14">
        <v>45613</v>
      </c>
      <c r="C104" s="13" t="s">
        <v>24</v>
      </c>
      <c r="D104" s="13" t="s">
        <v>44</v>
      </c>
      <c r="E104" s="13" t="s">
        <v>26</v>
      </c>
      <c r="F104" s="15">
        <v>66259.679999999993</v>
      </c>
      <c r="G104" s="15">
        <v>5566.06</v>
      </c>
      <c r="H104" s="13">
        <v>6</v>
      </c>
      <c r="I104" s="18">
        <f t="shared" si="5"/>
        <v>368805354.46079999</v>
      </c>
      <c r="J104" s="16">
        <f t="shared" si="4"/>
        <v>8.4003725946156109</v>
      </c>
    </row>
    <row r="105" spans="1:10" x14ac:dyDescent="0.3">
      <c r="A105" s="9" t="s">
        <v>144</v>
      </c>
      <c r="B105" s="10">
        <v>45460</v>
      </c>
      <c r="C105" s="9" t="s">
        <v>38</v>
      </c>
      <c r="D105" s="9" t="s">
        <v>17</v>
      </c>
      <c r="E105" s="9" t="s">
        <v>11</v>
      </c>
      <c r="F105" s="11">
        <v>1392.65</v>
      </c>
      <c r="G105" s="11">
        <v>417.95</v>
      </c>
      <c r="H105" s="9">
        <v>9</v>
      </c>
      <c r="I105" s="17">
        <f t="shared" si="5"/>
        <v>582058.0675</v>
      </c>
      <c r="J105" s="12">
        <f t="shared" si="4"/>
        <v>30.011129860338205</v>
      </c>
    </row>
    <row r="106" spans="1:10" x14ac:dyDescent="0.3">
      <c r="A106" s="13" t="s">
        <v>145</v>
      </c>
      <c r="B106" s="14">
        <v>45570</v>
      </c>
      <c r="C106" s="13" t="s">
        <v>9</v>
      </c>
      <c r="D106" s="13" t="s">
        <v>88</v>
      </c>
      <c r="E106" s="13" t="s">
        <v>14</v>
      </c>
      <c r="F106" s="15">
        <v>33932.089999999997</v>
      </c>
      <c r="G106" s="15">
        <v>5453.28</v>
      </c>
      <c r="H106" s="13">
        <v>3</v>
      </c>
      <c r="I106" s="18">
        <f t="shared" si="5"/>
        <v>185041187.75519997</v>
      </c>
      <c r="J106" s="16">
        <f t="shared" si="4"/>
        <v>16.071158599426088</v>
      </c>
    </row>
    <row r="107" spans="1:10" x14ac:dyDescent="0.3">
      <c r="A107" s="9" t="s">
        <v>146</v>
      </c>
      <c r="B107" s="10">
        <v>45534</v>
      </c>
      <c r="C107" s="9" t="s">
        <v>38</v>
      </c>
      <c r="D107" s="9" t="s">
        <v>52</v>
      </c>
      <c r="E107" s="9" t="s">
        <v>11</v>
      </c>
      <c r="F107" s="11">
        <v>1091.5899999999999</v>
      </c>
      <c r="G107" s="11">
        <v>228.42</v>
      </c>
      <c r="H107" s="9">
        <v>9</v>
      </c>
      <c r="I107" s="17">
        <f t="shared" si="5"/>
        <v>249340.98779999997</v>
      </c>
      <c r="J107" s="12">
        <f t="shared" si="4"/>
        <v>20.925439038466827</v>
      </c>
    </row>
    <row r="108" spans="1:10" x14ac:dyDescent="0.3">
      <c r="A108" s="13" t="s">
        <v>147</v>
      </c>
      <c r="B108" s="14">
        <v>45631</v>
      </c>
      <c r="C108" s="13" t="s">
        <v>24</v>
      </c>
      <c r="D108" s="13" t="s">
        <v>19</v>
      </c>
      <c r="E108" s="13" t="s">
        <v>20</v>
      </c>
      <c r="F108" s="15">
        <v>1891.78</v>
      </c>
      <c r="G108" s="15">
        <v>666.09</v>
      </c>
      <c r="H108" s="13">
        <v>7</v>
      </c>
      <c r="I108" s="18">
        <f t="shared" si="5"/>
        <v>1260095.7402000001</v>
      </c>
      <c r="J108" s="16">
        <f t="shared" si="4"/>
        <v>35.209696687775541</v>
      </c>
    </row>
    <row r="109" spans="1:10" x14ac:dyDescent="0.3">
      <c r="A109" s="9" t="s">
        <v>148</v>
      </c>
      <c r="B109" s="10">
        <v>45617</v>
      </c>
      <c r="C109" s="9" t="s">
        <v>38</v>
      </c>
      <c r="D109" s="9" t="s">
        <v>25</v>
      </c>
      <c r="E109" s="9" t="s">
        <v>26</v>
      </c>
      <c r="F109" s="11">
        <v>37617.47</v>
      </c>
      <c r="G109" s="11">
        <v>4513.9799999999996</v>
      </c>
      <c r="H109" s="9">
        <v>2</v>
      </c>
      <c r="I109" s="17">
        <f t="shared" si="5"/>
        <v>169804507.2306</v>
      </c>
      <c r="J109" s="12">
        <f t="shared" si="4"/>
        <v>11.999690569301974</v>
      </c>
    </row>
    <row r="110" spans="1:10" x14ac:dyDescent="0.3">
      <c r="A110" s="9" t="s">
        <v>149</v>
      </c>
      <c r="B110" s="10">
        <v>45413</v>
      </c>
      <c r="C110" s="9" t="s">
        <v>38</v>
      </c>
      <c r="D110" s="9" t="s">
        <v>64</v>
      </c>
      <c r="E110" s="9" t="s">
        <v>29</v>
      </c>
      <c r="F110" s="11">
        <v>9472.56</v>
      </c>
      <c r="G110" s="11">
        <v>2357.7600000000002</v>
      </c>
      <c r="H110" s="9">
        <v>5</v>
      </c>
      <c r="I110" s="17">
        <f t="shared" si="5"/>
        <v>22334023.0656</v>
      </c>
      <c r="J110" s="12">
        <f t="shared" si="4"/>
        <v>24.890420329879149</v>
      </c>
    </row>
    <row r="111" spans="1:10" x14ac:dyDescent="0.3">
      <c r="A111" s="9" t="s">
        <v>150</v>
      </c>
      <c r="B111" s="10">
        <v>45643</v>
      </c>
      <c r="C111" s="9" t="s">
        <v>9</v>
      </c>
      <c r="D111" s="9" t="s">
        <v>19</v>
      </c>
      <c r="E111" s="9" t="s">
        <v>20</v>
      </c>
      <c r="F111" s="11">
        <v>3475.32</v>
      </c>
      <c r="G111" s="11">
        <v>1680.03</v>
      </c>
      <c r="H111" s="9">
        <v>7</v>
      </c>
      <c r="I111" s="17">
        <f t="shared" si="5"/>
        <v>5838641.8596000001</v>
      </c>
      <c r="J111" s="12">
        <f t="shared" si="4"/>
        <v>48.341735437312245</v>
      </c>
    </row>
    <row r="112" spans="1:10" x14ac:dyDescent="0.3">
      <c r="A112" s="13" t="s">
        <v>151</v>
      </c>
      <c r="B112" s="14">
        <v>45489</v>
      </c>
      <c r="C112" s="13" t="s">
        <v>38</v>
      </c>
      <c r="D112" s="13" t="s">
        <v>42</v>
      </c>
      <c r="E112" s="13" t="s">
        <v>29</v>
      </c>
      <c r="F112" s="15">
        <v>8878.49</v>
      </c>
      <c r="G112" s="15">
        <v>2181.11</v>
      </c>
      <c r="H112" s="13">
        <v>1</v>
      </c>
      <c r="I112" s="18">
        <f t="shared" si="5"/>
        <v>19364963.323899999</v>
      </c>
      <c r="J112" s="16">
        <f t="shared" si="4"/>
        <v>24.566226914711851</v>
      </c>
    </row>
    <row r="113" spans="1:10" x14ac:dyDescent="0.3">
      <c r="A113" s="9" t="s">
        <v>152</v>
      </c>
      <c r="B113" s="10">
        <v>45634</v>
      </c>
      <c r="C113" s="9" t="s">
        <v>9</v>
      </c>
      <c r="D113" s="9" t="s">
        <v>99</v>
      </c>
      <c r="E113" s="9" t="s">
        <v>20</v>
      </c>
      <c r="F113" s="11">
        <v>4043.19</v>
      </c>
      <c r="G113" s="11">
        <v>1120.06</v>
      </c>
      <c r="H113" s="9">
        <v>1</v>
      </c>
      <c r="I113" s="17">
        <f t="shared" si="5"/>
        <v>4528615.3914000001</v>
      </c>
      <c r="J113" s="12">
        <f t="shared" si="4"/>
        <v>27.702383514007501</v>
      </c>
    </row>
    <row r="114" spans="1:10" x14ac:dyDescent="0.3">
      <c r="A114" s="13" t="s">
        <v>153</v>
      </c>
      <c r="B114" s="14">
        <v>45486</v>
      </c>
      <c r="C114" s="13" t="s">
        <v>16</v>
      </c>
      <c r="D114" s="13" t="s">
        <v>13</v>
      </c>
      <c r="E114" s="13" t="s">
        <v>14</v>
      </c>
      <c r="F114" s="15">
        <v>16439.599999999999</v>
      </c>
      <c r="G114" s="15">
        <v>4343.09</v>
      </c>
      <c r="H114" s="13">
        <v>7</v>
      </c>
      <c r="I114" s="18">
        <f t="shared" si="5"/>
        <v>71398662.363999993</v>
      </c>
      <c r="J114" s="16">
        <f t="shared" si="4"/>
        <v>26.418465169468845</v>
      </c>
    </row>
    <row r="115" spans="1:10" x14ac:dyDescent="0.3">
      <c r="A115" s="9" t="s">
        <v>154</v>
      </c>
      <c r="B115" s="10">
        <v>45310</v>
      </c>
      <c r="C115" s="9" t="s">
        <v>24</v>
      </c>
      <c r="D115" s="9" t="s">
        <v>88</v>
      </c>
      <c r="E115" s="9" t="s">
        <v>14</v>
      </c>
      <c r="F115" s="11">
        <v>39909.910000000003</v>
      </c>
      <c r="G115" s="11">
        <v>10456.99</v>
      </c>
      <c r="H115" s="9">
        <v>7</v>
      </c>
      <c r="I115" s="17">
        <f t="shared" si="5"/>
        <v>417337529.77090001</v>
      </c>
      <c r="J115" s="12">
        <f t="shared" si="4"/>
        <v>26.201487299770903</v>
      </c>
    </row>
    <row r="116" spans="1:10" x14ac:dyDescent="0.3">
      <c r="A116" s="13" t="s">
        <v>155</v>
      </c>
      <c r="B116" s="14">
        <v>45512</v>
      </c>
      <c r="C116" s="13" t="s">
        <v>9</v>
      </c>
      <c r="D116" s="13" t="s">
        <v>44</v>
      </c>
      <c r="E116" s="13" t="s">
        <v>26</v>
      </c>
      <c r="F116" s="15">
        <v>38702.35</v>
      </c>
      <c r="G116" s="15">
        <v>7429.71</v>
      </c>
      <c r="H116" s="13">
        <v>1</v>
      </c>
      <c r="I116" s="18">
        <f t="shared" si="5"/>
        <v>287547236.81849998</v>
      </c>
      <c r="J116" s="16">
        <f t="shared" si="4"/>
        <v>19.197051341843586</v>
      </c>
    </row>
    <row r="117" spans="1:10" x14ac:dyDescent="0.3">
      <c r="A117" s="9" t="s">
        <v>156</v>
      </c>
      <c r="B117" s="10">
        <v>45563</v>
      </c>
      <c r="C117" s="9" t="s">
        <v>16</v>
      </c>
      <c r="D117" s="9" t="s">
        <v>88</v>
      </c>
      <c r="E117" s="9" t="s">
        <v>14</v>
      </c>
      <c r="F117" s="11">
        <v>36991.71</v>
      </c>
      <c r="G117" s="11">
        <v>10787.82</v>
      </c>
      <c r="H117" s="9">
        <v>5</v>
      </c>
      <c r="I117" s="17">
        <f t="shared" si="5"/>
        <v>399059908.97219998</v>
      </c>
      <c r="J117" s="12">
        <f t="shared" si="4"/>
        <v>29.162804314804585</v>
      </c>
    </row>
    <row r="118" spans="1:10" x14ac:dyDescent="0.3">
      <c r="A118" s="13" t="s">
        <v>157</v>
      </c>
      <c r="B118" s="14">
        <v>45350</v>
      </c>
      <c r="C118" s="13" t="s">
        <v>38</v>
      </c>
      <c r="D118" s="13" t="s">
        <v>49</v>
      </c>
      <c r="E118" s="13" t="s">
        <v>26</v>
      </c>
      <c r="F118" s="15">
        <v>64019.85</v>
      </c>
      <c r="G118" s="15">
        <v>6854.85</v>
      </c>
      <c r="H118" s="13">
        <v>7</v>
      </c>
      <c r="I118" s="18">
        <f t="shared" si="5"/>
        <v>438846468.77250004</v>
      </c>
      <c r="J118" s="16">
        <f t="shared" si="4"/>
        <v>10.707382163500853</v>
      </c>
    </row>
    <row r="119" spans="1:10" x14ac:dyDescent="0.3">
      <c r="A119" s="9" t="s">
        <v>158</v>
      </c>
      <c r="B119" s="10">
        <v>45385</v>
      </c>
      <c r="C119" s="9" t="s">
        <v>16</v>
      </c>
      <c r="D119" s="9" t="s">
        <v>52</v>
      </c>
      <c r="E119" s="9" t="s">
        <v>11</v>
      </c>
      <c r="F119" s="11">
        <v>1774.07</v>
      </c>
      <c r="G119" s="11">
        <v>388.25</v>
      </c>
      <c r="H119" s="9">
        <v>9</v>
      </c>
      <c r="I119" s="17">
        <f t="shared" si="5"/>
        <v>688782.67749999999</v>
      </c>
      <c r="J119" s="12">
        <f t="shared" si="4"/>
        <v>21.884705789512253</v>
      </c>
    </row>
    <row r="120" spans="1:10" x14ac:dyDescent="0.3">
      <c r="A120" s="13" t="s">
        <v>159</v>
      </c>
      <c r="B120" s="14">
        <v>45509</v>
      </c>
      <c r="C120" s="13" t="s">
        <v>9</v>
      </c>
      <c r="D120" s="13" t="s">
        <v>34</v>
      </c>
      <c r="E120" s="13" t="s">
        <v>14</v>
      </c>
      <c r="F120" s="15">
        <v>21259.25</v>
      </c>
      <c r="G120" s="15">
        <v>4966.3900000000003</v>
      </c>
      <c r="H120" s="13">
        <v>2</v>
      </c>
      <c r="I120" s="18">
        <f t="shared" si="5"/>
        <v>105581726.6075</v>
      </c>
      <c r="J120" s="16">
        <f t="shared" si="4"/>
        <v>23.361078118936465</v>
      </c>
    </row>
    <row r="121" spans="1:10" x14ac:dyDescent="0.3">
      <c r="A121" s="9" t="s">
        <v>160</v>
      </c>
      <c r="B121" s="10">
        <v>45363</v>
      </c>
      <c r="C121" s="9" t="s">
        <v>24</v>
      </c>
      <c r="D121" s="9" t="s">
        <v>44</v>
      </c>
      <c r="E121" s="9" t="s">
        <v>26</v>
      </c>
      <c r="F121" s="11">
        <v>79735.28</v>
      </c>
      <c r="G121" s="11">
        <v>7489.89</v>
      </c>
      <c r="H121" s="9">
        <v>4</v>
      </c>
      <c r="I121" s="17">
        <f t="shared" si="5"/>
        <v>597208476.31920004</v>
      </c>
      <c r="J121" s="12">
        <f t="shared" si="4"/>
        <v>9.3934454108645511</v>
      </c>
    </row>
    <row r="122" spans="1:10" x14ac:dyDescent="0.3">
      <c r="A122" s="13" t="s">
        <v>161</v>
      </c>
      <c r="B122" s="14">
        <v>45321</v>
      </c>
      <c r="C122" s="13" t="s">
        <v>9</v>
      </c>
      <c r="D122" s="13" t="s">
        <v>28</v>
      </c>
      <c r="E122" s="13" t="s">
        <v>29</v>
      </c>
      <c r="F122" s="15">
        <v>3113.49</v>
      </c>
      <c r="G122" s="15">
        <v>538.32000000000005</v>
      </c>
      <c r="H122" s="13">
        <v>2</v>
      </c>
      <c r="I122" s="18">
        <f t="shared" si="5"/>
        <v>1676053.9368</v>
      </c>
      <c r="J122" s="16">
        <f t="shared" si="4"/>
        <v>17.289922241600266</v>
      </c>
    </row>
    <row r="123" spans="1:10" x14ac:dyDescent="0.3">
      <c r="A123" s="9" t="s">
        <v>162</v>
      </c>
      <c r="B123" s="10">
        <v>45498</v>
      </c>
      <c r="C123" s="9" t="s">
        <v>16</v>
      </c>
      <c r="D123" s="9" t="s">
        <v>49</v>
      </c>
      <c r="E123" s="9" t="s">
        <v>26</v>
      </c>
      <c r="F123" s="11">
        <v>27453.35</v>
      </c>
      <c r="G123" s="11">
        <v>3963.01</v>
      </c>
      <c r="H123" s="9">
        <v>3</v>
      </c>
      <c r="I123" s="17">
        <f t="shared" si="5"/>
        <v>108797900.5835</v>
      </c>
      <c r="J123" s="12">
        <f t="shared" si="4"/>
        <v>14.435433198498545</v>
      </c>
    </row>
    <row r="124" spans="1:10" x14ac:dyDescent="0.3">
      <c r="A124" s="13" t="s">
        <v>163</v>
      </c>
      <c r="B124" s="14">
        <v>45540</v>
      </c>
      <c r="C124" s="13" t="s">
        <v>9</v>
      </c>
      <c r="D124" s="13" t="s">
        <v>56</v>
      </c>
      <c r="E124" s="13" t="s">
        <v>20</v>
      </c>
      <c r="F124" s="15">
        <v>848.68</v>
      </c>
      <c r="G124" s="15">
        <v>272.79000000000002</v>
      </c>
      <c r="H124" s="13">
        <v>5</v>
      </c>
      <c r="I124" s="18">
        <f t="shared" si="5"/>
        <v>231511.4172</v>
      </c>
      <c r="J124" s="16">
        <f t="shared" si="4"/>
        <v>32.142857142857146</v>
      </c>
    </row>
    <row r="125" spans="1:10" x14ac:dyDescent="0.3">
      <c r="A125" s="9" t="s">
        <v>164</v>
      </c>
      <c r="B125" s="10">
        <v>45338</v>
      </c>
      <c r="C125" s="9" t="s">
        <v>16</v>
      </c>
      <c r="D125" s="9" t="s">
        <v>56</v>
      </c>
      <c r="E125" s="9" t="s">
        <v>20</v>
      </c>
      <c r="F125" s="11">
        <v>1290.3800000000001</v>
      </c>
      <c r="G125" s="11">
        <v>365.23</v>
      </c>
      <c r="H125" s="9">
        <v>9</v>
      </c>
      <c r="I125" s="17">
        <f t="shared" si="5"/>
        <v>471285.48740000004</v>
      </c>
      <c r="J125" s="12">
        <f t="shared" si="4"/>
        <v>28.304065469086627</v>
      </c>
    </row>
    <row r="126" spans="1:10" x14ac:dyDescent="0.3">
      <c r="A126" s="13" t="s">
        <v>165</v>
      </c>
      <c r="B126" s="14">
        <v>45473</v>
      </c>
      <c r="C126" s="13" t="s">
        <v>38</v>
      </c>
      <c r="D126" s="13" t="s">
        <v>91</v>
      </c>
      <c r="E126" s="13" t="s">
        <v>11</v>
      </c>
      <c r="F126" s="15">
        <v>1754.91</v>
      </c>
      <c r="G126" s="15">
        <v>374.75</v>
      </c>
      <c r="H126" s="13">
        <v>2</v>
      </c>
      <c r="I126" s="18">
        <f t="shared" si="5"/>
        <v>657652.52250000008</v>
      </c>
      <c r="J126" s="16">
        <f t="shared" si="4"/>
        <v>21.354371449248109</v>
      </c>
    </row>
    <row r="127" spans="1:10" x14ac:dyDescent="0.3">
      <c r="A127" s="9" t="s">
        <v>166</v>
      </c>
      <c r="B127" s="10">
        <v>45338</v>
      </c>
      <c r="C127" s="9" t="s">
        <v>38</v>
      </c>
      <c r="D127" s="9" t="s">
        <v>44</v>
      </c>
      <c r="E127" s="9" t="s">
        <v>26</v>
      </c>
      <c r="F127" s="11">
        <v>49877.2</v>
      </c>
      <c r="G127" s="11">
        <v>6712.19</v>
      </c>
      <c r="H127" s="9">
        <v>5</v>
      </c>
      <c r="I127" s="17">
        <f t="shared" si="5"/>
        <v>334785243.06799996</v>
      </c>
      <c r="J127" s="12">
        <f t="shared" si="4"/>
        <v>13.457431451645242</v>
      </c>
    </row>
    <row r="128" spans="1:10" x14ac:dyDescent="0.3">
      <c r="A128" s="13" t="s">
        <v>167</v>
      </c>
      <c r="B128" s="14">
        <v>45654</v>
      </c>
      <c r="C128" s="13" t="s">
        <v>9</v>
      </c>
      <c r="D128" s="13" t="s">
        <v>52</v>
      </c>
      <c r="E128" s="13" t="s">
        <v>11</v>
      </c>
      <c r="F128" s="15">
        <v>1520.83</v>
      </c>
      <c r="G128" s="15">
        <v>671.25</v>
      </c>
      <c r="H128" s="13">
        <v>5</v>
      </c>
      <c r="I128" s="18">
        <f t="shared" si="5"/>
        <v>1020857.1375</v>
      </c>
      <c r="J128" s="16">
        <f t="shared" si="4"/>
        <v>44.137083040182006</v>
      </c>
    </row>
    <row r="129" spans="1:10" x14ac:dyDescent="0.3">
      <c r="A129" s="9" t="s">
        <v>168</v>
      </c>
      <c r="B129" s="10">
        <v>45624</v>
      </c>
      <c r="C129" s="9" t="s">
        <v>24</v>
      </c>
      <c r="D129" s="9" t="s">
        <v>40</v>
      </c>
      <c r="E129" s="9" t="s">
        <v>26</v>
      </c>
      <c r="F129" s="11">
        <v>76724.759999999995</v>
      </c>
      <c r="G129" s="11">
        <v>7973.49</v>
      </c>
      <c r="H129" s="9">
        <v>1</v>
      </c>
      <c r="I129" s="17">
        <f t="shared" si="5"/>
        <v>611764106.61239994</v>
      </c>
      <c r="J129" s="12">
        <f t="shared" si="4"/>
        <v>10.392329672976494</v>
      </c>
    </row>
    <row r="130" spans="1:10" x14ac:dyDescent="0.3">
      <c r="A130" s="13" t="s">
        <v>169</v>
      </c>
      <c r="B130" s="14">
        <v>45544</v>
      </c>
      <c r="C130" s="13" t="s">
        <v>24</v>
      </c>
      <c r="D130" s="13" t="s">
        <v>40</v>
      </c>
      <c r="E130" s="13" t="s">
        <v>26</v>
      </c>
      <c r="F130" s="15">
        <v>24934.69</v>
      </c>
      <c r="G130" s="15">
        <v>2473.4699999999998</v>
      </c>
      <c r="H130" s="13">
        <v>7</v>
      </c>
      <c r="I130" s="18">
        <f t="shared" ref="I130:I151" si="6">F130*G130</f>
        <v>61675207.674299993</v>
      </c>
      <c r="J130" s="16">
        <f t="shared" si="4"/>
        <v>9.9197944710762389</v>
      </c>
    </row>
    <row r="131" spans="1:10" x14ac:dyDescent="0.3">
      <c r="A131" s="9" t="s">
        <v>170</v>
      </c>
      <c r="B131" s="10">
        <v>45306</v>
      </c>
      <c r="C131" s="9" t="s">
        <v>9</v>
      </c>
      <c r="D131" s="9" t="s">
        <v>88</v>
      </c>
      <c r="E131" s="9" t="s">
        <v>14</v>
      </c>
      <c r="F131" s="11">
        <v>24279.37</v>
      </c>
      <c r="G131" s="11">
        <v>5653.15</v>
      </c>
      <c r="H131" s="9">
        <v>2</v>
      </c>
      <c r="I131" s="17">
        <f t="shared" si="6"/>
        <v>137254920.51549998</v>
      </c>
      <c r="J131" s="12">
        <f t="shared" ref="J131:J151" si="7">IF(F131=0,0,(G131/F131)*100)</f>
        <v>23.283759010221434</v>
      </c>
    </row>
    <row r="132" spans="1:10" x14ac:dyDescent="0.3">
      <c r="A132" s="13" t="s">
        <v>171</v>
      </c>
      <c r="B132" s="14">
        <v>45344</v>
      </c>
      <c r="C132" s="13" t="s">
        <v>24</v>
      </c>
      <c r="D132" s="13" t="s">
        <v>64</v>
      </c>
      <c r="E132" s="13" t="s">
        <v>29</v>
      </c>
      <c r="F132" s="15">
        <v>8102.16</v>
      </c>
      <c r="G132" s="15">
        <v>1345.53</v>
      </c>
      <c r="H132" s="13">
        <v>3</v>
      </c>
      <c r="I132" s="18">
        <f t="shared" si="6"/>
        <v>10901699.344799999</v>
      </c>
      <c r="J132" s="16">
        <f t="shared" si="7"/>
        <v>16.607052934032406</v>
      </c>
    </row>
    <row r="133" spans="1:10" x14ac:dyDescent="0.3">
      <c r="A133" s="9" t="s">
        <v>172</v>
      </c>
      <c r="B133" s="10">
        <v>45524</v>
      </c>
      <c r="C133" s="9" t="s">
        <v>24</v>
      </c>
      <c r="D133" s="9" t="s">
        <v>73</v>
      </c>
      <c r="E133" s="9" t="s">
        <v>20</v>
      </c>
      <c r="F133" s="11">
        <v>2365.1728450701476</v>
      </c>
      <c r="G133" s="11">
        <v>962.79</v>
      </c>
      <c r="H133" s="9">
        <v>7</v>
      </c>
      <c r="I133" s="17">
        <f t="shared" si="6"/>
        <v>2277164.7635050872</v>
      </c>
      <c r="J133" s="12">
        <f t="shared" si="7"/>
        <v>40.706961523205081</v>
      </c>
    </row>
    <row r="134" spans="1:10" x14ac:dyDescent="0.3">
      <c r="A134" s="13" t="s">
        <v>173</v>
      </c>
      <c r="B134" s="14">
        <v>45508</v>
      </c>
      <c r="C134" s="13" t="s">
        <v>38</v>
      </c>
      <c r="D134" s="13" t="s">
        <v>84</v>
      </c>
      <c r="E134" s="13" t="s">
        <v>14</v>
      </c>
      <c r="F134" s="15">
        <v>15384.77</v>
      </c>
      <c r="G134" s="15">
        <v>4543.22</v>
      </c>
      <c r="H134" s="13">
        <v>10</v>
      </c>
      <c r="I134" s="18">
        <f t="shared" si="6"/>
        <v>69896394.75940001</v>
      </c>
      <c r="J134" s="16">
        <f t="shared" si="7"/>
        <v>29.53063321713617</v>
      </c>
    </row>
    <row r="135" spans="1:10" x14ac:dyDescent="0.3">
      <c r="A135" s="9" t="s">
        <v>174</v>
      </c>
      <c r="B135" s="10">
        <v>45645</v>
      </c>
      <c r="C135" s="9" t="s">
        <v>38</v>
      </c>
      <c r="D135" s="9" t="s">
        <v>91</v>
      </c>
      <c r="E135" s="9" t="s">
        <v>11</v>
      </c>
      <c r="F135" s="11">
        <v>1627.28</v>
      </c>
      <c r="G135" s="11">
        <v>363.31</v>
      </c>
      <c r="H135" s="9">
        <v>4</v>
      </c>
      <c r="I135" s="17">
        <f t="shared" si="6"/>
        <v>591207.09679999994</v>
      </c>
      <c r="J135" s="12">
        <f t="shared" si="7"/>
        <v>22.326213067204172</v>
      </c>
    </row>
    <row r="136" spans="1:10" x14ac:dyDescent="0.3">
      <c r="A136" s="13" t="s">
        <v>175</v>
      </c>
      <c r="B136" s="14">
        <v>45641</v>
      </c>
      <c r="C136" s="13" t="s">
        <v>16</v>
      </c>
      <c r="D136" s="13" t="s">
        <v>93</v>
      </c>
      <c r="E136" s="13" t="s">
        <v>20</v>
      </c>
      <c r="F136" s="15">
        <v>1820.75</v>
      </c>
      <c r="G136" s="15">
        <v>527.17999999999995</v>
      </c>
      <c r="H136" s="13">
        <v>1</v>
      </c>
      <c r="I136" s="18">
        <f t="shared" si="6"/>
        <v>959862.98499999987</v>
      </c>
      <c r="J136" s="16">
        <f t="shared" si="7"/>
        <v>28.954002471508989</v>
      </c>
    </row>
    <row r="137" spans="1:10" x14ac:dyDescent="0.3">
      <c r="A137" s="9" t="s">
        <v>176</v>
      </c>
      <c r="B137" s="10">
        <v>45321</v>
      </c>
      <c r="C137" s="9" t="s">
        <v>24</v>
      </c>
      <c r="D137" s="9" t="s">
        <v>177</v>
      </c>
      <c r="E137" s="9" t="s">
        <v>14</v>
      </c>
      <c r="F137" s="11">
        <v>25826.23</v>
      </c>
      <c r="G137" s="11">
        <v>6489.66</v>
      </c>
      <c r="H137" s="9">
        <v>4</v>
      </c>
      <c r="I137" s="17">
        <f t="shared" si="6"/>
        <v>167603451.7818</v>
      </c>
      <c r="J137" s="12">
        <f t="shared" si="7"/>
        <v>25.128173953379957</v>
      </c>
    </row>
    <row r="138" spans="1:10" x14ac:dyDescent="0.3">
      <c r="A138" s="13" t="s">
        <v>178</v>
      </c>
      <c r="B138" s="14">
        <v>45656</v>
      </c>
      <c r="C138" s="13" t="s">
        <v>38</v>
      </c>
      <c r="D138" s="13" t="s">
        <v>40</v>
      </c>
      <c r="E138" s="13" t="s">
        <v>26</v>
      </c>
      <c r="F138" s="15">
        <v>35937.269999999997</v>
      </c>
      <c r="G138" s="15">
        <v>3514.67</v>
      </c>
      <c r="H138" s="13">
        <v>3</v>
      </c>
      <c r="I138" s="18">
        <f t="shared" si="6"/>
        <v>126307644.75089999</v>
      </c>
      <c r="J138" s="16">
        <f t="shared" si="7"/>
        <v>9.7800138964367651</v>
      </c>
    </row>
    <row r="139" spans="1:10" x14ac:dyDescent="0.3">
      <c r="A139" s="9" t="s">
        <v>179</v>
      </c>
      <c r="B139" s="10">
        <v>45455</v>
      </c>
      <c r="C139" s="9" t="s">
        <v>24</v>
      </c>
      <c r="D139" s="9" t="s">
        <v>84</v>
      </c>
      <c r="E139" s="9" t="s">
        <v>14</v>
      </c>
      <c r="F139" s="11">
        <v>13094.15</v>
      </c>
      <c r="G139" s="11">
        <v>3327.12</v>
      </c>
      <c r="H139" s="9">
        <v>4</v>
      </c>
      <c r="I139" s="17">
        <f t="shared" si="6"/>
        <v>43565808.347999997</v>
      </c>
      <c r="J139" s="12">
        <f t="shared" si="7"/>
        <v>25.409209456131173</v>
      </c>
    </row>
    <row r="140" spans="1:10" x14ac:dyDescent="0.3">
      <c r="A140" s="13" t="s">
        <v>180</v>
      </c>
      <c r="B140" s="14">
        <v>45504</v>
      </c>
      <c r="C140" s="13" t="s">
        <v>38</v>
      </c>
      <c r="D140" s="13" t="s">
        <v>52</v>
      </c>
      <c r="E140" s="13" t="s">
        <v>11</v>
      </c>
      <c r="F140" s="15">
        <v>1022.22</v>
      </c>
      <c r="G140" s="15">
        <v>241.41</v>
      </c>
      <c r="H140" s="13">
        <v>4</v>
      </c>
      <c r="I140" s="18">
        <f t="shared" si="6"/>
        <v>246774.13020000001</v>
      </c>
      <c r="J140" s="16">
        <f t="shared" si="7"/>
        <v>23.616246991841287</v>
      </c>
    </row>
    <row r="141" spans="1:10" x14ac:dyDescent="0.3">
      <c r="A141" s="9" t="s">
        <v>181</v>
      </c>
      <c r="B141" s="10">
        <v>45299</v>
      </c>
      <c r="C141" s="9" t="s">
        <v>16</v>
      </c>
      <c r="D141" s="9" t="s">
        <v>34</v>
      </c>
      <c r="E141" s="9" t="s">
        <v>14</v>
      </c>
      <c r="F141" s="11">
        <v>16332</v>
      </c>
      <c r="G141" s="11">
        <v>2876.67</v>
      </c>
      <c r="H141" s="9">
        <v>1</v>
      </c>
      <c r="I141" s="17">
        <f t="shared" si="6"/>
        <v>46981774.439999998</v>
      </c>
      <c r="J141" s="12">
        <f t="shared" si="7"/>
        <v>17.613703159441588</v>
      </c>
    </row>
    <row r="142" spans="1:10" x14ac:dyDescent="0.3">
      <c r="A142" s="13" t="s">
        <v>182</v>
      </c>
      <c r="B142" s="14">
        <v>45400</v>
      </c>
      <c r="C142" s="13" t="s">
        <v>9</v>
      </c>
      <c r="D142" s="13" t="s">
        <v>56</v>
      </c>
      <c r="E142" s="13" t="s">
        <v>20</v>
      </c>
      <c r="F142" s="15">
        <v>4978.17</v>
      </c>
      <c r="G142" s="15">
        <v>2053.34</v>
      </c>
      <c r="H142" s="13">
        <v>8</v>
      </c>
      <c r="I142" s="18">
        <f t="shared" si="6"/>
        <v>10221875.587800002</v>
      </c>
      <c r="J142" s="16">
        <f t="shared" si="7"/>
        <v>41.246883895085944</v>
      </c>
    </row>
    <row r="143" spans="1:10" x14ac:dyDescent="0.3">
      <c r="A143" s="9" t="s">
        <v>183</v>
      </c>
      <c r="B143" s="10">
        <v>45593</v>
      </c>
      <c r="C143" s="9" t="s">
        <v>9</v>
      </c>
      <c r="D143" s="9" t="s">
        <v>40</v>
      </c>
      <c r="E143" s="9" t="s">
        <v>26</v>
      </c>
      <c r="F143" s="11">
        <v>61009.66</v>
      </c>
      <c r="G143" s="11">
        <v>5311.8</v>
      </c>
      <c r="H143" s="9">
        <v>2</v>
      </c>
      <c r="I143" s="17">
        <f t="shared" si="6"/>
        <v>324071111.98800004</v>
      </c>
      <c r="J143" s="12">
        <f t="shared" si="7"/>
        <v>8.7064900869796684</v>
      </c>
    </row>
    <row r="144" spans="1:10" x14ac:dyDescent="0.3">
      <c r="A144" s="13" t="s">
        <v>184</v>
      </c>
      <c r="B144" s="14">
        <v>45370</v>
      </c>
      <c r="C144" s="13" t="s">
        <v>16</v>
      </c>
      <c r="D144" s="13" t="s">
        <v>34</v>
      </c>
      <c r="E144" s="13" t="s">
        <v>14</v>
      </c>
      <c r="F144" s="15">
        <v>38372.49</v>
      </c>
      <c r="G144" s="15">
        <v>11065.29</v>
      </c>
      <c r="H144" s="13">
        <v>1</v>
      </c>
      <c r="I144" s="18">
        <f t="shared" si="6"/>
        <v>424602729.8721</v>
      </c>
      <c r="J144" s="16">
        <f t="shared" si="7"/>
        <v>28.836518036749769</v>
      </c>
    </row>
    <row r="145" spans="1:10" x14ac:dyDescent="0.3">
      <c r="A145" s="9" t="s">
        <v>185</v>
      </c>
      <c r="B145" s="10">
        <v>45320</v>
      </c>
      <c r="C145" s="9" t="s">
        <v>16</v>
      </c>
      <c r="D145" s="9" t="s">
        <v>73</v>
      </c>
      <c r="E145" s="9" t="s">
        <v>20</v>
      </c>
      <c r="F145" s="11">
        <v>2438.09</v>
      </c>
      <c r="G145" s="11">
        <v>758.37</v>
      </c>
      <c r="H145" s="9">
        <v>7</v>
      </c>
      <c r="I145" s="17">
        <f t="shared" si="6"/>
        <v>1848974.3133</v>
      </c>
      <c r="J145" s="12">
        <f t="shared" si="7"/>
        <v>31.105086358583971</v>
      </c>
    </row>
    <row r="146" spans="1:10" x14ac:dyDescent="0.3">
      <c r="A146" s="13" t="s">
        <v>186</v>
      </c>
      <c r="B146" s="14">
        <v>45296</v>
      </c>
      <c r="C146" s="13" t="s">
        <v>16</v>
      </c>
      <c r="D146" s="13" t="s">
        <v>49</v>
      </c>
      <c r="E146" s="13" t="s">
        <v>26</v>
      </c>
      <c r="F146" s="15">
        <v>32190.28</v>
      </c>
      <c r="G146" s="15">
        <v>6012.03</v>
      </c>
      <c r="H146" s="13">
        <v>9</v>
      </c>
      <c r="I146" s="18">
        <f t="shared" si="6"/>
        <v>193528929.0684</v>
      </c>
      <c r="J146" s="16">
        <f t="shared" si="7"/>
        <v>18.676538383636302</v>
      </c>
    </row>
    <row r="147" spans="1:10" x14ac:dyDescent="0.3">
      <c r="A147" s="9" t="s">
        <v>187</v>
      </c>
      <c r="B147" s="10">
        <v>45630</v>
      </c>
      <c r="C147" s="9" t="s">
        <v>24</v>
      </c>
      <c r="D147" s="9" t="s">
        <v>84</v>
      </c>
      <c r="E147" s="9" t="s">
        <v>14</v>
      </c>
      <c r="F147" s="11">
        <v>11083.47</v>
      </c>
      <c r="G147" s="11">
        <v>1787.32</v>
      </c>
      <c r="H147" s="9">
        <v>1</v>
      </c>
      <c r="I147" s="17">
        <f t="shared" si="6"/>
        <v>19809707.600399997</v>
      </c>
      <c r="J147" s="12">
        <f t="shared" si="7"/>
        <v>16.125996641845923</v>
      </c>
    </row>
    <row r="148" spans="1:10" x14ac:dyDescent="0.3">
      <c r="A148" s="13" t="s">
        <v>188</v>
      </c>
      <c r="B148" s="14">
        <v>45350</v>
      </c>
      <c r="C148" s="13" t="s">
        <v>38</v>
      </c>
      <c r="D148" s="13" t="s">
        <v>49</v>
      </c>
      <c r="E148" s="13" t="s">
        <v>26</v>
      </c>
      <c r="F148" s="15">
        <v>47394.41</v>
      </c>
      <c r="G148" s="15">
        <v>7867.11</v>
      </c>
      <c r="H148" s="13">
        <v>9</v>
      </c>
      <c r="I148" s="18">
        <f t="shared" si="6"/>
        <v>372857036.85510004</v>
      </c>
      <c r="J148" s="16">
        <f t="shared" si="7"/>
        <v>16.599236070245414</v>
      </c>
    </row>
    <row r="149" spans="1:10" x14ac:dyDescent="0.3">
      <c r="A149" s="9" t="s">
        <v>189</v>
      </c>
      <c r="B149" s="10">
        <v>45539</v>
      </c>
      <c r="C149" s="9" t="s">
        <v>38</v>
      </c>
      <c r="D149" s="9" t="s">
        <v>46</v>
      </c>
      <c r="E149" s="9" t="s">
        <v>11</v>
      </c>
      <c r="F149" s="11">
        <v>683.11</v>
      </c>
      <c r="G149" s="11">
        <v>282.08</v>
      </c>
      <c r="H149" s="9">
        <v>2</v>
      </c>
      <c r="I149" s="17">
        <f t="shared" si="6"/>
        <v>192691.66879999998</v>
      </c>
      <c r="J149" s="12">
        <f t="shared" si="7"/>
        <v>41.293495923057776</v>
      </c>
    </row>
    <row r="150" spans="1:10" x14ac:dyDescent="0.3">
      <c r="A150" s="13" t="s">
        <v>190</v>
      </c>
      <c r="B150" s="14">
        <v>45461</v>
      </c>
      <c r="C150" s="13" t="s">
        <v>24</v>
      </c>
      <c r="D150" s="13" t="s">
        <v>32</v>
      </c>
      <c r="E150" s="13" t="s">
        <v>29</v>
      </c>
      <c r="F150" s="15">
        <v>5620.2</v>
      </c>
      <c r="G150" s="15">
        <v>971.24</v>
      </c>
      <c r="H150" s="13">
        <v>9</v>
      </c>
      <c r="I150" s="18">
        <f t="shared" si="6"/>
        <v>5458563.0479999995</v>
      </c>
      <c r="J150" s="16">
        <f t="shared" si="7"/>
        <v>17.281235543219104</v>
      </c>
    </row>
    <row r="151" spans="1:10" x14ac:dyDescent="0.3">
      <c r="A151" s="9" t="s">
        <v>191</v>
      </c>
      <c r="B151" s="10">
        <v>45292</v>
      </c>
      <c r="C151" s="9" t="s">
        <v>38</v>
      </c>
      <c r="D151" s="9" t="s">
        <v>10</v>
      </c>
      <c r="E151" s="9" t="s">
        <v>11</v>
      </c>
      <c r="F151" s="11">
        <v>537.65</v>
      </c>
      <c r="G151" s="11">
        <v>156.16</v>
      </c>
      <c r="H151" s="9">
        <v>8</v>
      </c>
      <c r="I151" s="17">
        <f t="shared" si="6"/>
        <v>83959.423999999999</v>
      </c>
      <c r="J151" s="12">
        <f t="shared" si="7"/>
        <v>29.044917697386772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E4CF-0D8A-443C-BFFF-241658356B39}">
  <dimension ref="A3:B8"/>
  <sheetViews>
    <sheetView topLeftCell="A3" zoomScale="98" workbookViewId="0">
      <selection activeCell="A4" sqref="A4"/>
    </sheetView>
  </sheetViews>
  <sheetFormatPr defaultRowHeight="14.4" x14ac:dyDescent="0.3"/>
  <cols>
    <col min="1" max="1" width="13.77734375" bestFit="1" customWidth="1"/>
    <col min="2" max="2" width="20.44140625" bestFit="1" customWidth="1"/>
  </cols>
  <sheetData>
    <row r="3" spans="1:2" x14ac:dyDescent="0.3">
      <c r="A3" s="5" t="s">
        <v>235</v>
      </c>
      <c r="B3" t="s">
        <v>234</v>
      </c>
    </row>
    <row r="4" spans="1:2" x14ac:dyDescent="0.3">
      <c r="A4" s="6" t="s">
        <v>16</v>
      </c>
      <c r="B4" s="4">
        <v>735884.0567624087</v>
      </c>
    </row>
    <row r="5" spans="1:2" x14ac:dyDescent="0.3">
      <c r="A5" s="6" t="s">
        <v>24</v>
      </c>
      <c r="B5" s="4">
        <v>766618.35284507019</v>
      </c>
    </row>
    <row r="6" spans="1:2" x14ac:dyDescent="0.3">
      <c r="A6" s="6" t="s">
        <v>9</v>
      </c>
      <c r="B6" s="4">
        <v>828291.9099999998</v>
      </c>
    </row>
    <row r="7" spans="1:2" x14ac:dyDescent="0.3">
      <c r="A7" s="6" t="s">
        <v>38</v>
      </c>
      <c r="B7" s="4">
        <v>603440.83813987556</v>
      </c>
    </row>
    <row r="8" spans="1:2" x14ac:dyDescent="0.3">
      <c r="A8" s="6" t="s">
        <v>236</v>
      </c>
      <c r="B8" s="4">
        <v>2934235.1577473544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4EA1C-98AD-44B5-B9DB-AC7AB73E2164}">
  <dimension ref="A1:B27"/>
  <sheetViews>
    <sheetView zoomScaleNormal="100"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19.77734375" bestFit="1" customWidth="1"/>
    <col min="5" max="6" width="8.88671875" customWidth="1"/>
  </cols>
  <sheetData>
    <row r="1" spans="1:2" x14ac:dyDescent="0.3">
      <c r="A1" s="5" t="s">
        <v>235</v>
      </c>
      <c r="B1" t="s">
        <v>234</v>
      </c>
    </row>
    <row r="2" spans="1:2" x14ac:dyDescent="0.3">
      <c r="A2" s="6" t="s">
        <v>32</v>
      </c>
      <c r="B2" s="4">
        <v>37121.85</v>
      </c>
    </row>
    <row r="3" spans="1:2" x14ac:dyDescent="0.3">
      <c r="A3" s="6" t="s">
        <v>88</v>
      </c>
      <c r="B3" s="4">
        <v>157250.54999999999</v>
      </c>
    </row>
    <row r="4" spans="1:2" x14ac:dyDescent="0.3">
      <c r="A4" s="6" t="s">
        <v>64</v>
      </c>
      <c r="B4" s="4">
        <v>43140.95</v>
      </c>
    </row>
    <row r="5" spans="1:2" x14ac:dyDescent="0.3">
      <c r="A5" s="6" t="s">
        <v>58</v>
      </c>
      <c r="B5" s="4">
        <v>27243.25</v>
      </c>
    </row>
    <row r="6" spans="1:2" x14ac:dyDescent="0.3">
      <c r="A6" s="6" t="s">
        <v>46</v>
      </c>
      <c r="B6" s="4">
        <v>4176.08</v>
      </c>
    </row>
    <row r="7" spans="1:2" x14ac:dyDescent="0.3">
      <c r="A7" s="6" t="s">
        <v>25</v>
      </c>
      <c r="B7" s="4">
        <v>532086.67000000004</v>
      </c>
    </row>
    <row r="8" spans="1:2" x14ac:dyDescent="0.3">
      <c r="A8" s="6" t="s">
        <v>42</v>
      </c>
      <c r="B8" s="4">
        <v>41130.547818579114</v>
      </c>
    </row>
    <row r="9" spans="1:2" x14ac:dyDescent="0.3">
      <c r="A9" s="6" t="s">
        <v>73</v>
      </c>
      <c r="B9" s="4">
        <v>10432.372845070147</v>
      </c>
    </row>
    <row r="10" spans="1:2" x14ac:dyDescent="0.3">
      <c r="A10" s="6" t="s">
        <v>99</v>
      </c>
      <c r="B10" s="4">
        <v>7878.73</v>
      </c>
    </row>
    <row r="11" spans="1:2" x14ac:dyDescent="0.3">
      <c r="A11" s="6" t="s">
        <v>56</v>
      </c>
      <c r="B11" s="4">
        <v>14809.029418089225</v>
      </c>
    </row>
    <row r="12" spans="1:2" x14ac:dyDescent="0.3">
      <c r="A12" s="6" t="s">
        <v>40</v>
      </c>
      <c r="B12" s="4">
        <v>481701.82999999996</v>
      </c>
    </row>
    <row r="13" spans="1:2" x14ac:dyDescent="0.3">
      <c r="A13" s="6" t="s">
        <v>91</v>
      </c>
      <c r="B13" s="4">
        <v>5493.98</v>
      </c>
    </row>
    <row r="14" spans="1:2" x14ac:dyDescent="0.3">
      <c r="A14" s="6" t="s">
        <v>28</v>
      </c>
      <c r="B14" s="4">
        <v>51374.229999999996</v>
      </c>
    </row>
    <row r="15" spans="1:2" x14ac:dyDescent="0.3">
      <c r="A15" s="6" t="s">
        <v>10</v>
      </c>
      <c r="B15" s="4">
        <v>8940.81</v>
      </c>
    </row>
    <row r="16" spans="1:2" x14ac:dyDescent="0.3">
      <c r="A16" s="6" t="s">
        <v>177</v>
      </c>
      <c r="B16" s="4">
        <v>25826.23</v>
      </c>
    </row>
    <row r="17" spans="1:2" x14ac:dyDescent="0.3">
      <c r="A17" s="6" t="s">
        <v>52</v>
      </c>
      <c r="B17" s="4">
        <v>9507.98</v>
      </c>
    </row>
    <row r="18" spans="1:2" x14ac:dyDescent="0.3">
      <c r="A18" s="6" t="s">
        <v>17</v>
      </c>
      <c r="B18" s="4">
        <v>5128.09</v>
      </c>
    </row>
    <row r="19" spans="1:2" x14ac:dyDescent="0.3">
      <c r="A19" s="6" t="s">
        <v>19</v>
      </c>
      <c r="B19" s="4">
        <v>14912.22</v>
      </c>
    </row>
    <row r="20" spans="1:2" x14ac:dyDescent="0.3">
      <c r="A20" s="6" t="s">
        <v>49</v>
      </c>
      <c r="B20" s="4">
        <v>342038.87734431971</v>
      </c>
    </row>
    <row r="21" spans="1:2" x14ac:dyDescent="0.3">
      <c r="A21" s="6" t="s">
        <v>70</v>
      </c>
      <c r="B21" s="4">
        <v>231782.19032129651</v>
      </c>
    </row>
    <row r="22" spans="1:2" x14ac:dyDescent="0.3">
      <c r="A22" s="6" t="s">
        <v>13</v>
      </c>
      <c r="B22" s="4">
        <v>250245.12000000002</v>
      </c>
    </row>
    <row r="23" spans="1:2" x14ac:dyDescent="0.3">
      <c r="A23" s="6" t="s">
        <v>84</v>
      </c>
      <c r="B23" s="4">
        <v>56687.13</v>
      </c>
    </row>
    <row r="24" spans="1:2" x14ac:dyDescent="0.3">
      <c r="A24" s="6" t="s">
        <v>44</v>
      </c>
      <c r="B24" s="4">
        <v>442486.11999999994</v>
      </c>
    </row>
    <row r="25" spans="1:2" x14ac:dyDescent="0.3">
      <c r="A25" s="6" t="s">
        <v>93</v>
      </c>
      <c r="B25" s="4">
        <v>11293.4</v>
      </c>
    </row>
    <row r="26" spans="1:2" x14ac:dyDescent="0.3">
      <c r="A26" s="6" t="s">
        <v>34</v>
      </c>
      <c r="B26" s="4">
        <v>121546.91999999998</v>
      </c>
    </row>
    <row r="27" spans="1:2" x14ac:dyDescent="0.3">
      <c r="A27" s="6" t="s">
        <v>236</v>
      </c>
      <c r="B27" s="4">
        <v>2934235.1577473548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DE126-7D1C-4EC6-A8C6-9806158DF2E8}">
  <dimension ref="A1:B14"/>
  <sheetViews>
    <sheetView workbookViewId="0">
      <selection activeCell="K19" sqref="K19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1" spans="1:2" x14ac:dyDescent="0.3">
      <c r="A1" s="5" t="s">
        <v>235</v>
      </c>
      <c r="B1" t="s">
        <v>234</v>
      </c>
    </row>
    <row r="2" spans="1:2" x14ac:dyDescent="0.3">
      <c r="A2" s="6" t="s">
        <v>237</v>
      </c>
      <c r="B2" s="4">
        <v>236348.71</v>
      </c>
    </row>
    <row r="3" spans="1:2" x14ac:dyDescent="0.3">
      <c r="A3" s="6" t="s">
        <v>238</v>
      </c>
      <c r="B3" s="4">
        <v>362605.53032129654</v>
      </c>
    </row>
    <row r="4" spans="1:2" x14ac:dyDescent="0.3">
      <c r="A4" s="6" t="s">
        <v>239</v>
      </c>
      <c r="B4" s="4">
        <v>244829.54781857913</v>
      </c>
    </row>
    <row r="5" spans="1:2" x14ac:dyDescent="0.3">
      <c r="A5" s="6" t="s">
        <v>240</v>
      </c>
      <c r="B5" s="4">
        <v>134976.21</v>
      </c>
    </row>
    <row r="6" spans="1:2" x14ac:dyDescent="0.3">
      <c r="A6" s="6" t="s">
        <v>241</v>
      </c>
      <c r="B6" s="4">
        <v>228251.52734431965</v>
      </c>
    </row>
    <row r="7" spans="1:2" x14ac:dyDescent="0.3">
      <c r="A7" s="6" t="s">
        <v>242</v>
      </c>
      <c r="B7" s="4">
        <v>99755.519999999975</v>
      </c>
    </row>
    <row r="8" spans="1:2" x14ac:dyDescent="0.3">
      <c r="A8" s="6" t="s">
        <v>243</v>
      </c>
      <c r="B8" s="4">
        <v>175727.62000000002</v>
      </c>
    </row>
    <row r="9" spans="1:2" x14ac:dyDescent="0.3">
      <c r="A9" s="6" t="s">
        <v>244</v>
      </c>
      <c r="B9" s="4">
        <v>184788.34284507012</v>
      </c>
    </row>
    <row r="10" spans="1:2" x14ac:dyDescent="0.3">
      <c r="A10" s="6" t="s">
        <v>245</v>
      </c>
      <c r="B10" s="4">
        <v>276398.43999999994</v>
      </c>
    </row>
    <row r="11" spans="1:2" x14ac:dyDescent="0.3">
      <c r="A11" s="6" t="s">
        <v>246</v>
      </c>
      <c r="B11" s="4">
        <v>359281.32941808924</v>
      </c>
    </row>
    <row r="12" spans="1:2" x14ac:dyDescent="0.3">
      <c r="A12" s="6" t="s">
        <v>247</v>
      </c>
      <c r="B12" s="4">
        <v>425174.38</v>
      </c>
    </row>
    <row r="13" spans="1:2" x14ac:dyDescent="0.3">
      <c r="A13" s="6" t="s">
        <v>248</v>
      </c>
      <c r="B13" s="4">
        <v>206097.99999999997</v>
      </c>
    </row>
    <row r="14" spans="1:2" x14ac:dyDescent="0.3">
      <c r="A14" s="6" t="s">
        <v>236</v>
      </c>
      <c r="B14" s="4">
        <v>2934235.1577473544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>
      <selection activeCell="B20" sqref="B20"/>
    </sheetView>
  </sheetViews>
  <sheetFormatPr defaultRowHeight="14.4" x14ac:dyDescent="0.3"/>
  <cols>
    <col min="1" max="1" width="28" customWidth="1"/>
    <col min="2" max="2" width="50" customWidth="1"/>
  </cols>
  <sheetData>
    <row r="1" spans="1:2" ht="16.8" x14ac:dyDescent="0.3">
      <c r="A1" s="1" t="s">
        <v>192</v>
      </c>
    </row>
    <row r="2" spans="1:2" x14ac:dyDescent="0.3">
      <c r="A2" s="2"/>
      <c r="B2" s="2"/>
    </row>
    <row r="3" spans="1:2" x14ac:dyDescent="0.3">
      <c r="A3" s="2" t="s">
        <v>193</v>
      </c>
      <c r="B3" s="2" t="s">
        <v>194</v>
      </c>
    </row>
    <row r="4" spans="1:2" x14ac:dyDescent="0.3">
      <c r="A4" s="3" t="s">
        <v>195</v>
      </c>
      <c r="B4" s="2"/>
    </row>
    <row r="5" spans="1:2" x14ac:dyDescent="0.3">
      <c r="A5" s="2" t="s">
        <v>196</v>
      </c>
      <c r="B5" s="2" t="s">
        <v>197</v>
      </c>
    </row>
    <row r="6" spans="1:2" x14ac:dyDescent="0.3">
      <c r="A6" s="2" t="s">
        <v>198</v>
      </c>
      <c r="B6" s="2" t="s">
        <v>199</v>
      </c>
    </row>
    <row r="7" spans="1:2" x14ac:dyDescent="0.3">
      <c r="A7" s="2" t="s">
        <v>200</v>
      </c>
      <c r="B7" s="2" t="s">
        <v>201</v>
      </c>
    </row>
    <row r="8" spans="1:2" x14ac:dyDescent="0.3">
      <c r="A8" s="2"/>
      <c r="B8" s="2"/>
    </row>
    <row r="9" spans="1:2" x14ac:dyDescent="0.3">
      <c r="A9" s="3" t="s">
        <v>202</v>
      </c>
      <c r="B9" s="2"/>
    </row>
    <row r="10" spans="1:2" x14ac:dyDescent="0.3">
      <c r="A10" s="2" t="s">
        <v>203</v>
      </c>
      <c r="B10" s="2" t="s">
        <v>204</v>
      </c>
    </row>
    <row r="11" spans="1:2" x14ac:dyDescent="0.3">
      <c r="A11" s="2" t="s">
        <v>205</v>
      </c>
      <c r="B11" s="2" t="s">
        <v>206</v>
      </c>
    </row>
    <row r="12" spans="1:2" x14ac:dyDescent="0.3">
      <c r="A12" s="2" t="s">
        <v>207</v>
      </c>
      <c r="B12" s="2" t="s">
        <v>208</v>
      </c>
    </row>
    <row r="13" spans="1:2" x14ac:dyDescent="0.3">
      <c r="A13" s="2" t="s">
        <v>209</v>
      </c>
      <c r="B13" s="2" t="s">
        <v>210</v>
      </c>
    </row>
    <row r="14" spans="1:2" x14ac:dyDescent="0.3">
      <c r="A14" s="2" t="s">
        <v>211</v>
      </c>
      <c r="B14" s="2" t="s">
        <v>212</v>
      </c>
    </row>
    <row r="15" spans="1:2" x14ac:dyDescent="0.3">
      <c r="A15" s="2" t="s">
        <v>213</v>
      </c>
      <c r="B15" s="2" t="s">
        <v>214</v>
      </c>
    </row>
    <row r="16" spans="1:2" x14ac:dyDescent="0.3">
      <c r="A16" s="2" t="s">
        <v>215</v>
      </c>
      <c r="B16" s="2" t="s">
        <v>216</v>
      </c>
    </row>
    <row r="17" spans="1:2" x14ac:dyDescent="0.3">
      <c r="A17" s="2" t="s">
        <v>217</v>
      </c>
      <c r="B17" s="2" t="s">
        <v>218</v>
      </c>
    </row>
    <row r="18" spans="1:2" x14ac:dyDescent="0.3">
      <c r="A18" s="2"/>
      <c r="B18" s="2"/>
    </row>
    <row r="19" spans="1:2" x14ac:dyDescent="0.3">
      <c r="A19" s="3" t="s">
        <v>219</v>
      </c>
      <c r="B19" s="2"/>
    </row>
    <row r="20" spans="1:2" x14ac:dyDescent="0.3">
      <c r="A20" s="3" t="s">
        <v>220</v>
      </c>
      <c r="B20" s="2" t="s">
        <v>221</v>
      </c>
    </row>
    <row r="21" spans="1:2" x14ac:dyDescent="0.3">
      <c r="A21" s="3" t="s">
        <v>222</v>
      </c>
      <c r="B21" s="2" t="s">
        <v>223</v>
      </c>
    </row>
    <row r="22" spans="1:2" x14ac:dyDescent="0.3">
      <c r="A22" s="3" t="s">
        <v>224</v>
      </c>
      <c r="B22" s="2" t="s">
        <v>225</v>
      </c>
    </row>
    <row r="23" spans="1:2" x14ac:dyDescent="0.3">
      <c r="A23" s="3" t="s">
        <v>226</v>
      </c>
      <c r="B23" s="2" t="s">
        <v>227</v>
      </c>
    </row>
    <row r="24" spans="1:2" x14ac:dyDescent="0.3">
      <c r="A24" s="3" t="s">
        <v>228</v>
      </c>
      <c r="B24" s="2" t="s">
        <v>229</v>
      </c>
    </row>
    <row r="25" spans="1:2" x14ac:dyDescent="0.3">
      <c r="A25" s="3" t="s">
        <v>230</v>
      </c>
      <c r="B25" s="2" t="s">
        <v>231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5D3D70-2FD3-4981-99E9-6FFEFCBB22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Sales Data</vt:lpstr>
      <vt:lpstr>Sales by Region </vt:lpstr>
      <vt:lpstr>Sales by Product</vt:lpstr>
      <vt:lpstr>Monthly Sales Trend</vt:lpstr>
      <vt:lpstr>DATASET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Parmar</cp:lastModifiedBy>
  <cp:lastPrinted>2026-06-01T18:02:30Z</cp:lastPrinted>
  <dcterms:created xsi:type="dcterms:W3CDTF">2026-06-01T13:18:56Z</dcterms:created>
  <dcterms:modified xsi:type="dcterms:W3CDTF">2026-06-01T18:56:36Z</dcterms:modified>
</cp:coreProperties>
</file>